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ashley/Downloads/"/>
    </mc:Choice>
  </mc:AlternateContent>
  <xr:revisionPtr revIDLastSave="0" documentId="8_{740F1832-0F6B-AE4C-9E42-D70A96B1A239}" xr6:coauthVersionLast="47" xr6:coauthVersionMax="47" xr10:uidLastSave="{00000000-0000-0000-0000-000000000000}"/>
  <bookViews>
    <workbookView xWindow="0" yWindow="0" windowWidth="28800" windowHeight="18000" tabRatio="500" xr2:uid="{00000000-000D-0000-FFFF-FFFF00000000}"/>
  </bookViews>
  <sheets>
    <sheet name="Carry Summary" sheetId="1" r:id="rId1"/>
    <sheet name="Pool Selection" sheetId="2" r:id="rId2"/>
    <sheet name="P&amp;L" sheetId="3" r:id="rId3"/>
    <sheet name="Basis Trade" sheetId="4" r:id="rId4"/>
    <sheet name="Coupon Stack Trade" sheetId="5" r:id="rId5"/>
    <sheet name="Assumptions" sheetId="6" r:id="rId6"/>
    <sheet name="TBA Roll Table" sheetId="7" r:id="rId7"/>
    <sheet name="Pool Carry Table" sheetId="8" r:id="rId8"/>
    <sheet name="Net Carry Summary"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0" i="8" l="1"/>
  <c r="C10" i="8"/>
  <c r="B10" i="8"/>
  <c r="D9" i="8"/>
  <c r="C9" i="8"/>
  <c r="B9" i="8"/>
  <c r="D8" i="8"/>
  <c r="C8" i="8"/>
  <c r="B8" i="8"/>
  <c r="D7" i="8"/>
  <c r="C7" i="8"/>
  <c r="B7" i="8"/>
  <c r="D6" i="8"/>
  <c r="C6" i="8"/>
  <c r="B6" i="8"/>
  <c r="D5" i="8"/>
  <c r="C5" i="8"/>
  <c r="B5" i="8"/>
  <c r="D10" i="7"/>
  <c r="C10" i="7"/>
  <c r="B10" i="7"/>
  <c r="D9" i="7"/>
  <c r="C9" i="7"/>
  <c r="B9" i="7"/>
  <c r="D8" i="7"/>
  <c r="C8" i="7"/>
  <c r="B8" i="7"/>
  <c r="D7" i="7"/>
  <c r="C7" i="7"/>
  <c r="B7" i="7"/>
  <c r="D6" i="7"/>
  <c r="C6" i="7"/>
  <c r="B6" i="7"/>
  <c r="D5" i="7"/>
  <c r="C5" i="7"/>
  <c r="B5" i="7"/>
</calcChain>
</file>

<file path=xl/sharedStrings.xml><?xml version="1.0" encoding="utf-8"?>
<sst xmlns="http://schemas.openxmlformats.org/spreadsheetml/2006/main" count="386" uniqueCount="275">
  <si>
    <t>FR SL4960  —  3-Month Carry Analysis  (ticks, 1/32nd)</t>
  </si>
  <si>
    <t>CPR Assumption</t>
  </si>
  <si>
    <t>17% CPR</t>
  </si>
  <si>
    <t>15% CPR</t>
  </si>
  <si>
    <t>10% CPR</t>
  </si>
  <si>
    <t>3M Total</t>
  </si>
  <si>
    <t>Jul-Aug</t>
  </si>
  <si>
    <t>Aug-Sep</t>
  </si>
  <si>
    <t>Sep-Oct</t>
  </si>
  <si>
    <t>TBA Roll  (Short FNCL 6 TBA Hedge)</t>
  </si>
  <si>
    <t>Generic TBA Drop</t>
  </si>
  <si>
    <t>Pool Carry  (Long FR SL4960 Spec Pool)</t>
  </si>
  <si>
    <t>Spec-Adjusted Drop</t>
  </si>
  <si>
    <t>Net Carry</t>
  </si>
  <si>
    <t>Source: Bloomberg RA, FNCL 6 7/26 Mtge, 6/22/2026.  Pool carry = RA drop at imm. price 102-23 (TBA + 29.5 tick pay-up).  CPR assumptions: Jul-Aug 17% (1M speed), Aug-Sep 15% (seasonal slowdown), Sep-Oct 10% (Fed hike).</t>
  </si>
  <si>
    <t>TBA Roll Hedge  —  Analysis &amp; Risks</t>
  </si>
  <si>
    <t>Trade Rationale</t>
  </si>
  <si>
    <t>The TBA roll hedge (short Jul-26 FNCL 6 TBA / long Aug-26 FNCL 6 TBA) isolates the spec pool pay-up as the primary source of return. By hedging with the same coupon TBA, duration risk, spread risk, and most prepay risk are neutralized, leaving the position exposed only to changes in the pay-up of FR SL4960 relative to generic FNCL 6 TBA collateral. This is the most precise hedge for a pay-up convergence or stability trade. The position is long the pool's FICO/LTV collateral story and short generic collateral through the TBA, making it a clean expression of spec pool value.</t>
  </si>
  <si>
    <t>Why Carry is Negative</t>
  </si>
  <si>
    <t>Because FR SL4960 is a special pool trading at +29.5 ticks pay-up, the TBA into which you roll the hedge trades at a special (rich) level. Rolling the short TBA costs the special drop each month — 8 ticks in Jul-Aug, 5.75 ticks in Aug-Sep. The spec-adjusted pool carry is lower than the generic drop because your cost basis is higher. The result is a carry-negative position of approximately −$93k over 3 months at base case. This is the price of admission for holding quality collateral — the trade thesis must be justified by pay-up stability or widening rather than carry income.</t>
  </si>
  <si>
    <t>Macro Tailwinds</t>
  </si>
  <si>
    <t>Fed rate hike in September: a hike keeps mortgage rates elevated, suppressing refinancing activity and new origination. This directly supports the pay-up by keeping spec pool supply constrained — fewer new FICO/LTV story pools come to market when origination is low, maintaining the scarcity premium embedded in SL4960's +29.5 tick pay-up. Additionally, limited supply of Fannie 6s specifically means existing spec pools like SL4960 face less competition from new issuance, keeping investor demand concentrated on a thin float. Continued hedge fund buying in the 6% spec stack provides a technical bid that could push the pay-up toward the +36 tick breakeven.</t>
  </si>
  <si>
    <t>Macro Risks</t>
  </si>
  <si>
    <t>Rates rally: if the Fed pivots or signals cuts, mortgage rates decline and refinancing picks up, eroding the prepay protection value embedded in the pay-up. Faster prepays destroy the pay-up by shortening the pool's life and reducing the duration advantage over generic TBA. Supply increase: if origination volumes rise, new FICO/LTV spec pools come to market and dilute the scarcity premium, compressing pay-ups across the 6% stack. Hedge fund unwind: concentrated positioning in 6% specs can reverse quickly — a single large fund reducing exposure can gap the pay-up down 5-10 ticks in an illiquid market, turning a stable carry trade into a mark-to-market loss well in excess of the carry cost. Roll specialness compression: if the TBA roll richness normalizes, the cost of carrying the hedge decreases, improving the net carry profile.</t>
  </si>
  <si>
    <t>Why the TBA Roll May Decrease Over the 3-Month Horizon</t>
  </si>
  <si>
    <t>What Drives Roll Richness</t>
  </si>
  <si>
    <t>The TBA roll (the dollar drop between front and back month settle) is rich right now — 8 ticks for Jul-Aug — because the market is assigning a high premium to owning the front month TBA versus deferring delivery to the next month. Roll richness is driven by three factors: the financing rate differential (repo vs coupon), supply scarcity of current coupon MBS, and dealer balance sheet demand for collateral. When any of these factors normalize, the roll compresses.</t>
  </si>
  <si>
    <t>Fed Rate Path — The Dominant Catalyst</t>
  </si>
  <si>
    <t>The most powerful catalyst for roll compression over the next 3 months is the Fed rate hike priced in for September. Currently SOFR is 3.62% and the IFR on the roll is 3.70% for the front months, stepping up to 3.95% for Sep-Oct as the market prices in the hike. As you move further out the curve, the implied financing rate rises — and a higher financing rate mechanically compresses the roll. You can see this directly in the data: the Jul-Aug roll is 8 ticks, Aug-Sep drops to 5.75 ticks, and Sep-Oct is projected at 4.4-4.7 ticks depending on CPR. This step-down pattern reflects the market pricing in progressively higher financing costs over the horizon, which reduces the carry advantage of holding the front month and therefore the drop premium.</t>
  </si>
  <si>
    <t>Supply Normalization</t>
  </si>
  <si>
    <t>Current coupon MBS supply is tight right now — limited Fannie 6 issuance means dealers are paying up for front month delivery (hence the rich roll). But as the Fed hike takes effect and mortgage rates stay elevated, any marginal pickup in origination activity brings new 6% collateral to market. More supply reduces the scarcity premium embedded in the front month roll. Even a modest increase in Fannie 6 pool deliveries could normalize the Jul-Aug style richness toward the Aug-Sep level or below over the 3-month window.</t>
  </si>
  <si>
    <t>Seasonal Prepay Slowdown</t>
  </si>
  <si>
    <t>Prepayment speeds tend to slow seasonally into the fall — the summer refi and home purchase season fades, fewer loans close in September and October, and CPR readings for the back months decline. This is reflected in our CPR assumptions: 17% in Jul-Aug (current 1M speed), stepping down to 15% in Aug-Sep and 10% in Sep-Oct. Slower prepay reduces the paydown component of the roll, which mechanically lowers the break-even drop and compresses the richness. The Sep-Oct TBA drops in the 4.0-4.7 tick range (vs 8 ticks for Jul-Aug) already reflect this seasonal slowdown being priced in.</t>
  </si>
  <si>
    <t>Implication for the TBA Roll Hedge</t>
  </si>
  <si>
    <t>If the roll compresses as expected — from 8 ticks in Jul-Aug toward 4-5 ticks by Sep-Oct — the cost of carrying the TBA roll hedge decreases month over month. This is exactly what the carry table shows: the net carry improves from -4.064 ticks in Jul-Aug to -1.504 ticks in Aug-Sep to -0.383 ticks in Sep-Oct. The front month is the most expensive period to carry the hedge, and the position becomes progressively cheaper to hold as the roll normalizes into the fall. This means the negative carry is front-loaded — if the position is held through the full 3 months, the per-month drag decreases materially as roll richness fades with the Fed hike and seasonal factors.</t>
  </si>
  <si>
    <t>Pool Selection  —  FR SL4960 vs FN FA4286</t>
  </si>
  <si>
    <t>Side-by-Side Characteristics</t>
  </si>
  <si>
    <t>Characteristic</t>
  </si>
  <si>
    <t>FN FA4286</t>
  </si>
  <si>
    <t>FR SL4960</t>
  </si>
  <si>
    <t>Advantage</t>
  </si>
  <si>
    <t>Price</t>
  </si>
  <si>
    <t>103-11</t>
  </si>
  <si>
    <t>102-28</t>
  </si>
  <si>
    <t>SL4960 — cheaper entry</t>
  </si>
  <si>
    <t>Yield (%)</t>
  </si>
  <si>
    <t>5.049</t>
  </si>
  <si>
    <t>5.226</t>
  </si>
  <si>
    <t>SL4960 — +17.7 bps yield pickup</t>
  </si>
  <si>
    <t>Vintage</t>
  </si>
  <si>
    <t>2024</t>
  </si>
  <si>
    <t>2023</t>
  </si>
  <si>
    <t>FA4286 — newer collateral</t>
  </si>
  <si>
    <t>Avg FICO</t>
  </si>
  <si>
    <t>750</t>
  </si>
  <si>
    <t>676</t>
  </si>
  <si>
    <t>FA4286 — higher credit quality</t>
  </si>
  <si>
    <t>Avg LTV</t>
  </si>
  <si>
    <t>75</t>
  </si>
  <si>
    <t>80</t>
  </si>
  <si>
    <t>FA4286 — lower LTV</t>
  </si>
  <si>
    <t>Max Loan Size</t>
  </si>
  <si>
    <t>$225k</t>
  </si>
  <si>
    <t>$1.14mm</t>
  </si>
  <si>
    <t>SL4960 — jumbo loans, slower prepay</t>
  </si>
  <si>
    <t># Loans</t>
  </si>
  <si>
    <t>500</t>
  </si>
  <si>
    <t>2,841</t>
  </si>
  <si>
    <t>SL4960 — more diversified</t>
  </si>
  <si>
    <t>1M CPR (%)</t>
  </si>
  <si>
    <t>11.9</t>
  </si>
  <si>
    <t>17.3</t>
  </si>
  <si>
    <t>FA4286 — slower current speed</t>
  </si>
  <si>
    <t>3M CPR (%)</t>
  </si>
  <si>
    <t>14.1</t>
  </si>
  <si>
    <t>19.4</t>
  </si>
  <si>
    <t>FA4286 — slower 3M speed</t>
  </si>
  <si>
    <t>WAC (%)</t>
  </si>
  <si>
    <t>6.939</t>
  </si>
  <si>
    <t>6.974</t>
  </si>
  <si>
    <t>SL4960 — marginally higher WAC</t>
  </si>
  <si>
    <t>Balance ($mm)</t>
  </si>
  <si>
    <t>84.5</t>
  </si>
  <si>
    <t>110.3</t>
  </si>
  <si>
    <t>SL4960 — larger, more liquid</t>
  </si>
  <si>
    <t>WALA (months)</t>
  </si>
  <si>
    <t>28</t>
  </si>
  <si>
    <t>30</t>
  </si>
  <si>
    <t>Neutral</t>
  </si>
  <si>
    <t>WAM (months)</t>
  </si>
  <si>
    <t>321</t>
  </si>
  <si>
    <t>325</t>
  </si>
  <si>
    <t>Pay-Up (ticks)</t>
  </si>
  <si>
    <t>Higher</t>
  </si>
  <si>
    <t>+29.5</t>
  </si>
  <si>
    <t>SL4960 — lower pay-up, better value</t>
  </si>
  <si>
    <t>Key Decision Factors  —  Why FR SL4960</t>
  </si>
  <si>
    <t>1.  Loan Size is the Dominant Prepay Driver in a Hiking Cycle</t>
  </si>
  <si>
    <t>FR SL4960's average loan size of $1.14mm (jumbo) versus FA4286's $225k (conforming) is the single most important differentiator in the current rate environment. Jumbo borrowers locked in large mortgages at favorable rates and face enormous payment shock if they refinance at today's rates. The cost of refinancing a $1mm+ loan at a rate 200+ bps higher is prohibitive, creating structural prepay protection that is durable across multiple rate scenarios. This is not the case for conforming borrowers — a $225k loan has a much lower absolute payment increase and a lower breakeven for refinancing to make economic sense.</t>
  </si>
  <si>
    <t>2.  Fed Rate Hike Pricing Amplifies the Loan Size Advantage</t>
  </si>
  <si>
    <t>With a Fed rate hike priced in for September and rates expected to remain elevated, the refinancing incentive for jumbo borrowers deteriorates further. Each hike increases the payment differential between the current mortgage and a new loan, making prepayment less rational for SL4960's borrower base. FA4286's conforming borrowers are more sensitive to any rate relief — even a partial rally that does not bring rates back to prior lows could trigger a wave of conforming refinancing while leaving jumbo borrowers locked in place. This asymmetry makes SL4960 the better slow-pay story specifically because of the macro environment.</t>
  </si>
  <si>
    <t>3.  Yield Pickup and Lower Pay-Up Offer Better Risk-Adjusted Entry</t>
  </si>
  <si>
    <t>SL4960 offers a 17.7 bps yield advantage over FA4286 (5.226% vs 5.049%) at a lower price (102-28 vs 103-11) and a lower pay-up. FA4286's higher FICO (750) and lower LTV (75) command a premium that is already fully priced in — investors have bid up high-FICO collateral aggressively and the marginal value of an additional FICO point is diminishing. SL4960's 676 FICO / 80 LTV profile is less glamorous but the prepay story is driven by loan size, not credit quality, making the current pay-up of +29.5 ticks better value than FA4286's equivalent.</t>
  </si>
  <si>
    <t>4.  Diversification and Liquidity</t>
  </si>
  <si>
    <t>SL4960's 2,841 loans versus FA4286's 500 loans provides significantly better diversification — no single borrower prepaying has a meaningful impact on the pool factor. The larger balance ($110.3mm vs $84.5mm) also provides better liquidity when unwinding the position.</t>
  </si>
  <si>
    <t>Who Buys FR SL4960 on Unwind?</t>
  </si>
  <si>
    <t>Primary Buyers</t>
  </si>
  <si>
    <t>The most natural buyers of FR SL4960 on unwind are other hedge funds and relative value MBS investors who run similar spec pool strategies. These buyers are actively looking for current coupon FICO/loan size story pools and will recognize SL4960's collateral profile as a clean, well-understood trade. Given the current elevated hedge fund activity in the 6% spec stack, there is a reasonable active buyer base for this pool at or near the current pay-up. Money managers and insurance companies running MBS mandates are secondary buyers — they tend to be more buy-and-hold but will step in for quality collateral at attractive spreads.</t>
  </si>
  <si>
    <t>Unwind Risk</t>
  </si>
  <si>
    <t>The primary unwind risk is that the buyer base is concentrated among hedge funds who may all be reducing exposure simultaneously — particularly if there is a broader risk-off event or a rates rally that causes spec pool strategies to underperform. In that scenario, you may need to sell at a compressed pay-up to attract a real-money buyer (insurance, money manager) who will demand a concession for taking on the illiquidity. At $50mm notional the position is manageable — it is not so large that it moves the market, but it is large enough that a motivated seller would need to work the trade over 1-2 days to avoid pushing the pay-up down. The 2,841-loan diversification and $110mm balance make this more attractive to institutional buyers than a smaller, more concentrated pool would be.</t>
  </si>
  <si>
    <t>FR SL4960  —  P&amp;L Analysis</t>
  </si>
  <si>
    <t>Position Inputs</t>
  </si>
  <si>
    <t>Notional ($mm face)</t>
  </si>
  <si>
    <t>Tick Value ($/tick/$1mm face)</t>
  </si>
  <si>
    <t>Pool Price (incl. pay-up, 32nds decimal)</t>
  </si>
  <si>
    <t>Pay-Up (ticks, 1/32nd)</t>
  </si>
  <si>
    <t>Implied Financing Rate — Jul/Aug</t>
  </si>
  <si>
    <t>Implied Financing Rate — Sep/Oct</t>
  </si>
  <si>
    <t>Net Carry  (ticks, 1/32nd)  —  Pool Carry minus TBA Roll Cost</t>
  </si>
  <si>
    <t>TBA Roll Cost (ticks)</t>
  </si>
  <si>
    <t>Pool Carry / Spec-Adjusted Drop (ticks)</t>
  </si>
  <si>
    <t>Net Carry (ticks)</t>
  </si>
  <si>
    <t>Dollar P&amp;L</t>
  </si>
  <si>
    <t>P&amp;L per $1mm face ($/month)</t>
  </si>
  <si>
    <t>P&amp;L on $50mm Notional ($)</t>
  </si>
  <si>
    <t>Pay-Up Cost  (upfront capital at risk)</t>
  </si>
  <si>
    <t>Pay-Up Cost ($) = 29.5/32 × $50mm</t>
  </si>
  <si>
    <t>Pay-Up as % of Notional</t>
  </si>
  <si>
    <t>Summary</t>
  </si>
  <si>
    <t>Total 3M Net Carry P&amp;L</t>
  </si>
  <si>
    <t>Upfront Pay-Up Cost</t>
  </si>
  <si>
    <t>Net Position P&amp;L (Carry + Pay-Up if unwound at same pay-up)</t>
  </si>
  <si>
    <t>Tick value = $312.50 per tick per $1mm face (1/32nd of 1% of $1mm).  Net carry = spec-adjusted pool drop minus generic TBA roll cost.  CPR assumptions: Jul-Aug 17%, Aug-Sep 15%, Sep-Oct 10%.  Pay-up cost assumes position unwound at same +29.5 tick pay-up; if pay-up compresses, additional loss is incurred.  Source: Bloomberg RA, FNCL 6 7/26 Mtge, 6/22/2026.</t>
  </si>
  <si>
    <t>Pay-Up Sensitivity  —  P&amp;L at Different Exit Pay-Ups</t>
  </si>
  <si>
    <t>Exit Pay-Up (ticks)</t>
  </si>
  <si>
    <t>Δ Pay-Up (ticks)</t>
  </si>
  <si>
    <t>Pay-Up P&amp;L ($)</t>
  </si>
  <si>
    <t>3M Carry P&amp;L ($)</t>
  </si>
  <si>
    <t>Total P&amp;L ($)</t>
  </si>
  <si>
    <t>Breakeven?</t>
  </si>
  <si>
    <t>Breakeven ~</t>
  </si>
  <si>
    <t>✓ Profit</t>
  </si>
  <si>
    <t>Entry pay-up = +29.5 ticks.  Pay-up P&amp;L = (Exit − Entry) × $312.50 × $50mm.  Each tick of pay-up movement = $15,625 on $50mm notional.  Breakeven exit pay-up ≈ +36 ticks (carry cost of 5.951 ticks ÷ $312.50 × $50mm = $92,984 offset).  Positive total P&amp;L requires exit pay-up &gt; ~36 ticks.</t>
  </si>
  <si>
    <t>Pay-Up Outlook  —  Supply, Demand &amp; Technical Dynamics</t>
  </si>
  <si>
    <t>Current Market Context</t>
  </si>
  <si>
    <t>6% spec pools are the current coupon, meaning most new origination is coming in at 6% WAC. Despite this, available spec pool supply is limited — most originators are delivering into TBA rather than holding back pools for spec designation. The pools that do exist, like FR SL4960 with its FICO 676 / LTV 80 collateral story, command strong pay-ups precisely because of that scarcity. SL4960's current pay-up of +29.5 ticks reflects the market's pricing of its slow-pay protection relative to generic TBA collateral.</t>
  </si>
  <si>
    <t>Hedge Fund Demand as a Pay-Up Catalyst</t>
  </si>
  <si>
    <t>Elevated hedge fund buying in the 6% spec stack is a meaningful technical tailwind for the position. Hedge funds entering spec pool trades create demand that is not purely driven by fundamental prepay valuation — it is driven by positioning, carry strategies, and relative value mandates. When enough participants concentrate in the same coupon and collateral story, pay-ups get bid up beyond what the pure prepay differential would justify. If this buying continues over the 3-month horizon, the pay-up could grind from +29.5 toward the +36 tick breakeven level without requiring any fundamental repricing of prepay risk — purely on sustained technical demand.</t>
  </si>
  <si>
    <t>Supply Dynamics</t>
  </si>
  <si>
    <t>Pay-up levels are highly sensitive to supply. Limited spec pool supply forces investors who want slow-pay collateral to compete for a small pool of available bonds, bidding up the pay-up. For the pay-up to widen meaningfully from here, supply would need to stay constrained or decrease further. The Fed rate hike environment supports this — elevated rates suppress origination volumes and keep new spec pool issuance low, which anchors the scarcity premium embedded in the current pay-up. Conversely, any meaningful rates rally that spurs origination would bring new supply to market and compress pay-ups across the 6% stack.</t>
  </si>
  <si>
    <t>Key Risk — Concentrated Positioning</t>
  </si>
  <si>
    <t>The primary risk to the pay-up outlook is the same force driving the upside: concentrated hedge fund positioning. Hedge fund flows are momentum-driven and can reverse quickly. If one or two large funds decide to take profits or rotate out of 6% specs, the unwind can be violent — pay-ups can gap down 5-10 ticks in a short period because the buyer base is concentrated and the market is relatively illiquid. This scenario is more dangerous than slow fundamental compression because it can happen faster than the position can be unwound, particularly at $50mm notional in a thin market.</t>
  </si>
  <si>
    <t>Bottom Line</t>
  </si>
  <si>
    <t>The most defensible pitch for this trade is pay-up stability, not pay-up widening. At +29.5 ticks, SL4960's pay-up is well-supported by its collateral profile and the current supply/demand dynamic. The carry cost of approximately $93,000 over 3 months is the price of admission for holding quality collateral in a constrained supply environment. Continued hedge fund demand represents a genuine upside technical catalyst that could push the pay-up toward breakeven, but this should be presented as a tail scenario rather than the base case. The base case is that the pay-up holds near entry and the position costs the carry while providing duration-hedged exposure to a high-quality spec pool.</t>
  </si>
  <si>
    <t>Basis Trade  —  Long FR SL4960  /  Short 5Y UST (CT5)</t>
  </si>
  <si>
    <t>Pool Leg</t>
  </si>
  <si>
    <t>UST Short Leg</t>
  </si>
  <si>
    <t>Net</t>
  </si>
  <si>
    <t>Instrument</t>
  </si>
  <si>
    <t>CT5 Govt (5Y UST)</t>
  </si>
  <si>
    <t>Direction</t>
  </si>
  <si>
    <t>Long</t>
  </si>
  <si>
    <t>Short</t>
  </si>
  <si>
    <t>Price (decimal)</t>
  </si>
  <si>
    <t>Coupon (%)</t>
  </si>
  <si>
    <t>OAD / Mod Duration</t>
  </si>
  <si>
    <t>DV01 per $1mm ($)</t>
  </si>
  <si>
    <t>Total DV01 ($)</t>
  </si>
  <si>
    <t>Repo / SOFR (%)</t>
  </si>
  <si>
    <t>Hedge Ratio (UST $mm / Pool $mm)</t>
  </si>
  <si>
    <t>Monthly Carry  ($ per month)</t>
  </si>
  <si>
    <t>Coupon Income / (Payment)</t>
  </si>
  <si>
    <t>Repo Income / (Cost)</t>
  </si>
  <si>
    <t>Net Leg Carry ($/month)</t>
  </si>
  <si>
    <t>3-Month P&amp;L Summary</t>
  </si>
  <si>
    <t>3-Month Carry P&amp;L ($)</t>
  </si>
  <si>
    <t>Yield Spread (pool vs 5Y UST, bps)</t>
  </si>
  <si>
    <t>DV01 Neutral Hedge Ratio</t>
  </si>
  <si>
    <t>Pool carry = (coupon − repo) × price × notional / 12.  UST short carry = (repo − coupon) × price × notional / 12.  Hedge ratio = pool total DV01 / UST DV01 per $1mm.  Pool DV01 = OAD × price / 10,000 × $1mm.  SOFR = 3.62%, repo = 3.66%.  Source: Bloomberg, 6/22/2026.</t>
  </si>
  <si>
    <t>Basis Trade  —  Analysis &amp; Risks</t>
  </si>
  <si>
    <t>The basis trade (long FR SL4960, short 5Y UST DV01-neutral) expresses a view that MBS spreads will tighten relative to Treasuries, or at minimum hold stable, while earning positive net carry from the coupon differential. The pool's 6.0% coupon financed at SOFR (3.66%) generates substantial carry of ~$100k/month on $50mm notional. The 5Y UST short is sized to neutralize parallel rate risk (DV01 neutral at 0.59x), leaving the position exposed to MBS basis movements — the spread between MBS yields and equivalent-duration Treasuries. The 72.8 bps yield spread over the 5Y UST represents compensation for MBS-specific risks including prepayment uncertainty, negative convexity, and liquidity premium.</t>
  </si>
  <si>
    <t>What it Means to be Long Basis</t>
  </si>
  <si>
    <t>Being long basis means you profit when MBS spreads tighten (MBS outperforms Treasuries) and lose when MBS spreads widen (MBS underperforms Treasuries). MBS basis is driven by Fed balance sheet policy, bank demand, convexity hedging flows, and rate volatility. When rates are volatile, MBS negative convexity becomes more costly — investors demand wider spreads to hold MBS, which hurts a long basis position. When rates are stable and the Fed is not actively selling its MBS portfolio, basis tends to tighten as carry-seeking investors bid up MBS. The key risk to understand is that a long basis position can lose money even if rates don't move — a pure spread widening event (e.g. Fed announcing accelerated MBS runoff) would compress the position's value independent of the rate environment.</t>
  </si>
  <si>
    <t>Fed rate hike in September: paradoxically, a hike can be positive for MBS basis if it signals the Fed is committed to fighting inflation and keeping rates elevated. Higher rates reduce prepay speeds, improving the carry profile of MBS relative to Treasuries and reducing negative convexity costs. Limited Fannie 6 supply constrains the float of current coupon MBS, supporting spreads as demand from banks, money managers, and hedge funds competes for scarce bonds. Stable rate volatility (low MOVE index) reduces the cost of negative convexity and supports MBS basis tightening. If the Fed maintains its current pace of MBS runoff without acceleration, the technical supply/demand balance in agency MBS remains supportive.</t>
  </si>
  <si>
    <t>Fed MBS selling acceleration: if the Fed announces an increase in the pace of MBS runoff or outright sales, supply increases sharply and MBS basis widens significantly — this is the single largest risk to a long basis position. Rate volatility spike: a sharp move in rates in either direction increases the cost of negative convexity and forces convexity hedgers to sell MBS, widening basis. This can happen even if rates ultimately end up unchanged. Bank demand reduction: if banks reduce MBS purchases due to regulatory changes or balance sheet constraints, a key buyer disappears from the market and spreads widen. Curve steepening: the 5Y UST hedge does not protect against curve twist risk — if the 5Y rallies while the long end sells off (steepening), the hedge becomes less effective and the position loses on the duration mismatch. This is particularly relevant given the Fed hike narrative which tends to flatten or invert the curve.</t>
  </si>
  <si>
    <t>Coupon Stack Trade  —  Long FR SL4960  /  Short FNCL 5.5 TBA</t>
  </si>
  <si>
    <t>FNCL 5.5 Short</t>
  </si>
  <si>
    <t>FNCL 5.5 TBA</t>
  </si>
  <si>
    <t>OAD</t>
  </si>
  <si>
    <t>Repo Rate (%)</t>
  </si>
  <si>
    <t>Hedge Ratio (TBA $mm / Pool $mm)</t>
  </si>
  <si>
    <t>Repo (Cost) / Income</t>
  </si>
  <si>
    <t>Coupon Spread (6.0% vs 5.5%, pct pts)</t>
  </si>
  <si>
    <t>Yield Spread (pool vs FNCL 5.5, bps)</t>
  </si>
  <si>
    <t>Pool carry = (coupon − repo) × price × notional / 12.  FNCL 5.5 short carry = (repo − coupon) × price × notional / 12.  Hedge ratio = pool total DV01 / FNCL 5.5 DV01 per $1mm.  FNCL 5.5 OAD = 3.45, price = 100-00+ (100.015625).  Repo = 3.66% (SOFR + 4bps).  Source: Bloomberg, 6/22/2026.</t>
  </si>
  <si>
    <t>Coupon Stack Trade  —  Analysis &amp; Risks</t>
  </si>
  <si>
    <t>Trade Rationale — Why 6s Should Outperform 5.5s</t>
  </si>
  <si>
    <t>The coupon stack trade (long FR SL4960 6%, short FNCL 5.5 TBA DV01-neutral) is a relative value bet that the 6% coupon outperforms the 5.5% coupon on a spread basis. The core argument is that 6s are the current coupon — most new origination is pricing at 6% WAC, meaning 6s have the most favorable supply/demand dynamics of any coupon in the stack. Current coupon MBS typically commands the tightest OAS because it is the most liquid, most actively traded, and most sought after by investors who want duration-adjusted carry. 5.5s by contrast are slightly off-the-run — they were the current coupon when rates were lower and now carry slightly elevated prepay risk as borrowers with 5.5% mortgages are closer to refinancing if rates decline. This makes 5.5s more negatively convex at current rate levels relative to 6s, which should cause 6s to outperform in a spread tightening environment.</t>
  </si>
  <si>
    <t>Supply Dynamics Favor 6s</t>
  </si>
  <si>
    <t>Limited supply of Fannie 6s is a structural tailwind for the long leg. With origination volumes suppressed by elevated rates, new FNCL 6 pools are not coming to market at a pace that satisfies investor demand. The existing float of 6% MBS is being absorbed by carry-seeking buyers including hedge funds, money managers, and some bank portfolios, keeping OAS tight and prices supported. Meanwhile the 5.5 coupon has a larger existing float from prior origination vintages and faces more supply risk if rates rally and refinancing activity picks up for borrowers with slightly higher mortgage rates. Short the 5.5 TBA therefore positions you against the coupon most vulnerable to supply and prepay acceleration.</t>
  </si>
  <si>
    <t>Fed rate hike in September: a hike directly supports the 6% coupon by keeping mortgage rates elevated and origination volumes low, maintaining supply scarcity. It also increases prepay risk for 5.5s relative to 6s at the margin — borrowers with 5.5% mortgages are closer to the refinancing threshold than 6% borrowers, so any rate decline (even partial) hits 5.5s harder. This convexity differential should cause 6s to outperform 5.5s in a rates-stable or rates-higher environment. Continued hedge fund demand in current coupon: institutional flows into 6% MBS provide a technical bid that is absent in the 5.5 coupon, supporting the spread compression thesis between the two coupons.</t>
  </si>
  <si>
    <t>Rates rally: if rates decline meaningfully, 6% borrowers move closer to refinancing and prepay risk in 6s increases sharply. This would compress the pay-up advantage of spec pools in the 6% stack and could cause 6s to underperform 5.5s as the market reprices prepay risk. In a strong rally scenario, 5.5s could actually outperform 6s because their borrowers are already partially refinancing — a rates decline accelerates existing 5.5 prepays and shortens duration, making 5.5 TBA relatively more valuable in a rally. Roll divergence: if the FNCL 5.5 TBA roll richness diverges significantly from the 6% roll, the hedge cost changes in a way that is not captured in this carry calculation. Coupon drift: as rates move, the current coupon designation shifts — if 6s become off-the-run and 6.5s become current coupon, demand rotates away from 6s and the relative value thesis breaks down. OAS convergence: if the spread between 6% and 5.5% OAS compresses due to technical factors rather than fundamentals, the position loses mark-to-market even if carry remains positive.</t>
  </si>
  <si>
    <t>CARRY ANALYSIS – ASSUMPTIONS</t>
  </si>
  <si>
    <t>TRADE SELECTION</t>
  </si>
  <si>
    <t>Selected Pool</t>
  </si>
  <si>
    <t>FICO story pool – FR; chosen on RV</t>
  </si>
  <si>
    <t>Ticker</t>
  </si>
  <si>
    <t>Bloomberg: FR SL4960 Mtge</t>
  </si>
  <si>
    <t>Source: Bloomberg DES 6/22/2026</t>
  </si>
  <si>
    <t>Pool Price (clean, 32nds-decimal)</t>
  </si>
  <si>
    <t>102-28 = 102 + 28/32</t>
  </si>
  <si>
    <t>Pay-Up over TBA (ticks, 1/32nds)</t>
  </si>
  <si>
    <t>+29+ means 29 and 1/2 tick = 29.5/32nds; Source: desk</t>
  </si>
  <si>
    <t>TBA ROLL (OBSERVED – FNCL 6 7/26)</t>
  </si>
  <si>
    <t>Jul-Aug Drop (ticks 1/32nd)</t>
  </si>
  <si>
    <t>Observed spec drop at 102-23 (TBA+payup), 17.3 CPR, 3.7% IFR, 7/13→8/13; Source: Bloomberg RA 6/22/2026</t>
  </si>
  <si>
    <t>Aug-Sep Drop (ticks 1/32nd)</t>
  </si>
  <si>
    <t>Observed spec drop at 102-23 (TBA+payup), 17.3 CPR, 3.7% IFR, 8/13→9/14; Source: Bloomberg RA 6/22/2026</t>
  </si>
  <si>
    <t>Sep-Oct Drop (by CPR)</t>
  </si>
  <si>
    <t>See CPR table below (rows 50-55)</t>
  </si>
  <si>
    <t>Bloomberg RA FNCL 6, 9/14→10/13, imm. price 102-23, IFR 3.95%</t>
  </si>
  <si>
    <t>IMPLIED FINANCING RATE (B/E FIN RATE)</t>
  </si>
  <si>
    <t>Jul-Aug  IFR (%)</t>
  </si>
  <si>
    <t>Source: Bloomberg RA screen 6/22/2026</t>
  </si>
  <si>
    <t>Aug-Sep  IFR (%)</t>
  </si>
  <si>
    <t>Same as Jul-Aug; desk guidance</t>
  </si>
  <si>
    <t>Sep-Oct  IFR (%)</t>
  </si>
  <si>
    <t>Priced-in Fed hike; desk guidance</t>
  </si>
  <si>
    <t>PREPAYMENT SCENARIOS (CPR)</t>
  </si>
  <si>
    <t>CPR Min (%)</t>
  </si>
  <si>
    <t>Lower bound of scenario range</t>
  </si>
  <si>
    <t>CPR Max (%)</t>
  </si>
  <si>
    <t>Upper bound of scenario range</t>
  </si>
  <si>
    <t>CPR Step</t>
  </si>
  <si>
    <t>Increment</t>
  </si>
  <si>
    <t>Base-Case CPR (%)</t>
  </si>
  <si>
    <t>FR SL4960 1M CPR Jun-26; Source: Bloomberg DES</t>
  </si>
  <si>
    <t>FR SL4960 3M CPR Jun-26; Source: Bloomberg DES 6/22/2026</t>
  </si>
  <si>
    <t>POOL CHARACTERISTICS (FR SL4960)</t>
  </si>
  <si>
    <t>Source: Bloomberg DES</t>
  </si>
  <si>
    <t>Source: Bloomberg DES; CL FICO story</t>
  </si>
  <si>
    <t>Current UPB; Source: Bloomberg DES</t>
  </si>
  <si>
    <t>FNCL 6 2023</t>
  </si>
  <si>
    <t>Jul-Aug POOL CARRY by CPR (RA, imm=102-23, IFR=3.7%)</t>
  </si>
  <si>
    <t>Drop (ticks)</t>
  </si>
  <si>
    <t>Source: Bloomberg RA FNCL 6 7/26, 7/13→8/13, 6/22/2026</t>
  </si>
  <si>
    <t>5% CPR</t>
  </si>
  <si>
    <t>20% CPR</t>
  </si>
  <si>
    <t>25% CPR</t>
  </si>
  <si>
    <t>Aug-Sep POOL CARRY by CPR (RA, imm=102-23, IFR=3.7%)</t>
  </si>
  <si>
    <t>Source: Bloomberg RA FNCL 6 7/26, 8/13→9/14, 6/22/2026</t>
  </si>
  <si>
    <t>Sep-Oct POOL CARRY by CPR (RA, imm=102-23, IFR=3.95%)</t>
  </si>
  <si>
    <t>Source: Bloomberg RA FNCL 6 7/26, 9/14→10/13, 6/22/2026</t>
  </si>
  <si>
    <t>TBA GENERIC DROPS (RA at TBA price, CPR-invariant for JA/AS)</t>
  </si>
  <si>
    <t>Jul-Aug TBA</t>
  </si>
  <si>
    <t>Aug-Sep TBA</t>
  </si>
  <si>
    <t>Sep-Oct TBA GENERIC DROPS by CPR (RA, imm=TBA price, IFR=3.95%)</t>
  </si>
  <si>
    <t>Source: Bloomberg RA FNCL 6 7/26, 9/14→10/13, generic price, 6/22/2026</t>
  </si>
  <si>
    <t>TBA ROLL CARRY TABLE  (in ticks, 1/32nd per $1mm face)</t>
  </si>
  <si>
    <t>TBA Roll Cost = negative of the generic TBA drop (RA at TBA price, no pay-up). Jul-Aug: −8.000 ticks. Aug-Sep: −5.750 ticks (CPR-invariant for near months). Sep-Oct: CPR-specific drops from Bloomberg RA at generic price (run separately).</t>
  </si>
  <si>
    <t>Mechanics:  Rolling a TBA short = sell near, buy far.  You receive the drop when you roll from near to far.  For SPECIAL pools the TBA trades rich, so the special drop is HIGHER than the generic roll – this is a COST to the spec pool long position.  Net TBA roll carry = −Drop (the short TBA roll is a negative carry item).</t>
  </si>
  <si>
    <t>CPR Scenario</t>
  </si>
  <si>
    <t>BASE CASE (17% CPR ≈ 1M CPR of FR SL4960)</t>
  </si>
  <si>
    <t>POOL CARRY TABLE  (in ticks, 1/32nd per $1mm face)</t>
  </si>
  <si>
    <t>Pool Carry = Bloomberg RA forward drop at adjusted imm. price (TBA + 29.5 tick pay-up = 102-23). Jul-Aug and Aug-Sep are flat across CPR rows (near-term dates lock in observed speed at 17.3 CPR). Sep-Oct is CPR-specific from Bloomberg RA. Jul-Aug observed drop: 3.936. Aug-Sep observed drop: 4.132.</t>
  </si>
  <si>
    <t>Formula: Pool Carry (ticks) = TBA Drop (ticks) − [ Pay-Up (ticks) × IFR% / 12 ]  where IFR is the B/E financing rate for that month from Bloomberg RA.  Sep-Oct: Pool Carry is SET EQUAL to Pool Carry (assumption per desk) because Sep-Oct TBA drop is not yet tradeable; it equals the carry earned.</t>
  </si>
  <si>
    <t>NET CARRY SUMMARY  (ticks, 1/32nd)  –  Spec Pool Long vs TBA Short Hedge</t>
  </si>
  <si>
    <t>Position: LONG FR SL4960 spec pool  +  SHORT FNCL 6 TBA (hedge).  The TBA roll is a COST (negative) because special pools command a higher drop.  The Pool earns carry from its coupon relative to its financing cost (the drop).  Net Carry = Pool Carry – TBA Roll Cost.  Positive = carry-positive position.</t>
  </si>
  <si>
    <t>Component</t>
  </si>
  <si>
    <t>3-Month Total</t>
  </si>
  <si>
    <t>BASE CASE  (17% CPR ≈ FR SL4960 1M CPR)</t>
  </si>
  <si>
    <t>Pool Carry (ticks)</t>
  </si>
  <si>
    <t>TBA Roll Cost (ticks, negative)</t>
  </si>
  <si>
    <t>NET CARRY  (Pool + TBA Roll Cost)</t>
  </si>
  <si>
    <t>CPR SENSITIVITY – NET CARRY (ticks)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</si>
</sst>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
    <numFmt numFmtId="166" formatCode="0.0"/>
    <numFmt numFmtId="167" formatCode="0.000%"/>
    <numFmt numFmtId="168" formatCode="\$#,##0"/>
    <numFmt numFmtId="169" formatCode="\+0.0;\-0.0;0.0"/>
    <numFmt numFmtId="170" formatCode="\$#,##0;&quot;($&quot;#,##0\)"/>
    <numFmt numFmtId="171" formatCode="0.00\x"/>
  </numFmts>
  <fonts count="20" x14ac:knownFonts="1">
    <font>
      <sz val="11"/>
      <color theme="1"/>
      <name val="Calibri"/>
      <family val="2"/>
      <charset val="1"/>
    </font>
    <font>
      <b/>
      <sz val="10"/>
      <color rgb="FFFFFFFF"/>
      <name val="Arial"/>
      <family val="2"/>
    </font>
    <font>
      <b/>
      <sz val="10"/>
      <color rgb="FF000000"/>
      <name val="Arial"/>
      <family val="2"/>
    </font>
    <font>
      <sz val="10"/>
      <color rgb="FF000000"/>
      <name val="Arial"/>
      <family val="2"/>
    </font>
    <font>
      <sz val="10"/>
      <color rgb="FF0000FF"/>
      <name val="Arial"/>
      <family val="2"/>
    </font>
    <font>
      <sz val="10"/>
      <color rgb="FF00703C"/>
      <name val="Arial"/>
      <family val="2"/>
    </font>
    <font>
      <i/>
      <sz val="8"/>
      <color rgb="FF595959"/>
      <name val="Arial"/>
      <family val="2"/>
    </font>
    <font>
      <b/>
      <sz val="12"/>
      <color rgb="FFFFFFFF"/>
      <name val="Arial"/>
      <family val="2"/>
    </font>
    <font>
      <b/>
      <sz val="10"/>
      <color rgb="FF00703C"/>
      <name val="Arial"/>
      <family val="2"/>
    </font>
    <font>
      <sz val="10"/>
      <color rgb="FFC00000"/>
      <name val="Arial"/>
      <family val="2"/>
    </font>
    <font>
      <b/>
      <sz val="10"/>
      <color rgb="FF0000FF"/>
      <name val="Arial"/>
      <family val="2"/>
    </font>
    <font>
      <b/>
      <sz val="10"/>
      <color rgb="FFC00000"/>
      <name val="Arial"/>
      <family val="2"/>
    </font>
    <font>
      <b/>
      <sz val="13"/>
      <color rgb="FFFFFFFF"/>
      <name val="Arial"/>
      <family val="2"/>
    </font>
    <font>
      <i/>
      <sz val="9"/>
      <color rgb="FF7F7F7F"/>
      <name val="Arial"/>
      <family val="2"/>
    </font>
    <font>
      <sz val="11"/>
      <color rgb="FF000000"/>
      <name val="Arial"/>
      <family val="2"/>
    </font>
    <font>
      <i/>
      <sz val="10"/>
      <color rgb="FF7F7F7F"/>
      <name val="Arial"/>
      <family val="2"/>
    </font>
    <font>
      <i/>
      <sz val="9"/>
      <color rgb="FF404040"/>
      <name val="Arial"/>
      <family val="2"/>
    </font>
    <font>
      <b/>
      <sz val="11"/>
      <color rgb="FFFFFFFF"/>
      <name val="Arial"/>
      <family val="2"/>
    </font>
    <font>
      <b/>
      <sz val="9"/>
      <color rgb="FFC00000"/>
      <name val="Arial"/>
      <family val="2"/>
    </font>
    <font>
      <sz val="11"/>
      <color rgb="FFFFFFFF"/>
      <name val="Arial"/>
      <family val="2"/>
    </font>
  </fonts>
  <fills count="4">
    <fill>
      <patternFill patternType="none"/>
    </fill>
    <fill>
      <patternFill patternType="gray125"/>
    </fill>
    <fill>
      <patternFill patternType="solid">
        <fgColor rgb="FF1F3864"/>
        <bgColor rgb="FF333399"/>
      </patternFill>
    </fill>
    <fill>
      <patternFill patternType="solid">
        <fgColor rgb="FFFFFF00"/>
        <bgColor rgb="FFFFFF00"/>
      </patternFill>
    </fill>
  </fills>
  <borders count="1">
    <border>
      <left/>
      <right/>
      <top/>
      <bottom/>
      <diagonal/>
    </border>
  </borders>
  <cellStyleXfs count="1">
    <xf numFmtId="0" fontId="0" fillId="0" borderId="0"/>
  </cellStyleXfs>
  <cellXfs count="73">
    <xf numFmtId="0" fontId="0" fillId="0" borderId="0" xfId="0"/>
    <xf numFmtId="0" fontId="1" fillId="0" borderId="0" xfId="0" applyFont="1" applyAlignment="1">
      <alignment horizontal="center" vertical="center" wrapText="1"/>
    </xf>
    <xf numFmtId="0" fontId="18" fillId="0" borderId="0" xfId="0" applyFont="1" applyAlignment="1">
      <alignment horizontal="left" vertical="center" indent="1"/>
    </xf>
    <xf numFmtId="0" fontId="16" fillId="0" borderId="0" xfId="0" applyFont="1" applyAlignment="1">
      <alignment horizontal="left" vertical="center" wrapText="1" indent="1"/>
    </xf>
    <xf numFmtId="0" fontId="7" fillId="2" borderId="0" xfId="0" applyFont="1" applyFill="1" applyAlignment="1">
      <alignment horizontal="center" vertical="center" wrapText="1"/>
    </xf>
    <xf numFmtId="0" fontId="14" fillId="0" borderId="0" xfId="0" applyFont="1"/>
    <xf numFmtId="0" fontId="1" fillId="0" borderId="0" xfId="0" applyFont="1" applyAlignment="1">
      <alignment horizontal="left" vertical="center" indent="1"/>
    </xf>
    <xf numFmtId="0" fontId="12" fillId="2" borderId="0" xfId="0" applyFont="1" applyFill="1" applyAlignment="1">
      <alignment horizontal="center" vertical="center" wrapText="1"/>
    </xf>
    <xf numFmtId="165" fontId="4" fillId="0" borderId="0" xfId="0" applyNumberFormat="1" applyFont="1" applyAlignment="1">
      <alignment horizontal="right" vertical="center"/>
    </xf>
    <xf numFmtId="0" fontId="7" fillId="2" borderId="0" xfId="0" applyFont="1" applyFill="1" applyAlignment="1">
      <alignment horizontal="center" vertical="center"/>
    </xf>
    <xf numFmtId="0" fontId="3" fillId="0" borderId="0" xfId="0" applyFont="1" applyAlignment="1">
      <alignment horizontal="left" vertical="top" wrapText="1" indent="1"/>
    </xf>
    <xf numFmtId="0" fontId="2" fillId="0" borderId="0" xfId="0" applyFont="1" applyAlignment="1">
      <alignment horizontal="left" vertical="center" indent="1"/>
    </xf>
    <xf numFmtId="0" fontId="1" fillId="2" borderId="0" xfId="0" applyFont="1" applyFill="1" applyAlignment="1">
      <alignment horizontal="left" vertical="center" indent="1"/>
    </xf>
    <xf numFmtId="0" fontId="6" fillId="0" borderId="0" xfId="0" applyFont="1" applyAlignment="1">
      <alignment horizontal="left" vertical="top" wrapText="1"/>
    </xf>
    <xf numFmtId="0" fontId="1" fillId="2" borderId="0" xfId="0" applyFont="1" applyFill="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left" vertical="center" indent="1"/>
    </xf>
    <xf numFmtId="0" fontId="2" fillId="0" borderId="0" xfId="0" applyFont="1" applyAlignment="1">
      <alignment horizontal="left" vertical="center"/>
    </xf>
    <xf numFmtId="0" fontId="3" fillId="0" borderId="0" xfId="0" applyFont="1" applyAlignment="1">
      <alignment horizontal="left" vertical="center"/>
    </xf>
    <xf numFmtId="164" fontId="4" fillId="3" borderId="0" xfId="0" applyNumberFormat="1" applyFont="1" applyFill="1" applyAlignment="1">
      <alignment horizontal="right" vertical="center"/>
    </xf>
    <xf numFmtId="164" fontId="5" fillId="3" borderId="0" xfId="0" applyNumberFormat="1" applyFont="1" applyFill="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indent="1"/>
    </xf>
    <xf numFmtId="0" fontId="3" fillId="0" borderId="0" xfId="0" applyFont="1" applyAlignment="1">
      <alignment horizontal="left" vertical="center" indent="1"/>
    </xf>
    <xf numFmtId="0" fontId="3" fillId="0" borderId="0" xfId="0" applyFont="1" applyAlignment="1">
      <alignment horizontal="center" vertical="center"/>
    </xf>
    <xf numFmtId="0" fontId="8" fillId="0" borderId="0" xfId="0" applyFont="1" applyAlignment="1">
      <alignment horizontal="center" vertical="center"/>
    </xf>
    <xf numFmtId="165" fontId="4" fillId="0" borderId="0" xfId="0" applyNumberFormat="1" applyFont="1" applyAlignment="1">
      <alignment horizontal="right" vertical="center"/>
    </xf>
    <xf numFmtId="166" fontId="4" fillId="3" borderId="0" xfId="0" applyNumberFormat="1" applyFont="1" applyFill="1" applyAlignment="1">
      <alignment horizontal="right" vertical="center"/>
    </xf>
    <xf numFmtId="167" fontId="4" fillId="3" borderId="0" xfId="0" applyNumberFormat="1" applyFont="1" applyFill="1" applyAlignment="1">
      <alignment horizontal="right" vertical="center"/>
    </xf>
    <xf numFmtId="164" fontId="4" fillId="0" borderId="0" xfId="0" applyNumberFormat="1" applyFont="1" applyAlignment="1">
      <alignment horizontal="right" vertical="center"/>
    </xf>
    <xf numFmtId="164" fontId="5" fillId="0" borderId="0" xfId="0" applyNumberFormat="1" applyFont="1" applyAlignment="1">
      <alignment horizontal="right" vertical="center"/>
    </xf>
    <xf numFmtId="165" fontId="3" fillId="0" borderId="0" xfId="0" applyNumberFormat="1" applyFont="1" applyAlignment="1">
      <alignment horizontal="right" vertical="center"/>
    </xf>
    <xf numFmtId="168" fontId="2" fillId="0" borderId="0" xfId="0" applyNumberFormat="1" applyFont="1" applyAlignment="1">
      <alignment horizontal="right" vertical="center"/>
    </xf>
    <xf numFmtId="168" fontId="3" fillId="0" borderId="0" xfId="0" applyNumberFormat="1" applyFont="1" applyAlignment="1">
      <alignment horizontal="right" vertical="center"/>
    </xf>
    <xf numFmtId="167" fontId="3" fillId="0" borderId="0" xfId="0" applyNumberFormat="1" applyFont="1" applyAlignment="1">
      <alignment horizontal="right" vertical="center"/>
    </xf>
    <xf numFmtId="166" fontId="4" fillId="0" borderId="0" xfId="0" applyNumberFormat="1" applyFont="1" applyAlignment="1">
      <alignment horizontal="center" vertical="center"/>
    </xf>
    <xf numFmtId="169" fontId="3" fillId="0" borderId="0" xfId="0" applyNumberFormat="1" applyFont="1" applyAlignment="1">
      <alignment horizontal="right" vertical="center"/>
    </xf>
    <xf numFmtId="170" fontId="3" fillId="0" borderId="0" xfId="0" applyNumberFormat="1" applyFont="1" applyAlignment="1">
      <alignment horizontal="right" vertical="center"/>
    </xf>
    <xf numFmtId="170" fontId="9" fillId="0" borderId="0" xfId="0" applyNumberFormat="1" applyFont="1" applyAlignment="1">
      <alignment horizontal="right" vertical="center"/>
    </xf>
    <xf numFmtId="166" fontId="10" fillId="0" borderId="0" xfId="0" applyNumberFormat="1" applyFont="1" applyAlignment="1">
      <alignment horizontal="center" vertical="center"/>
    </xf>
    <xf numFmtId="169" fontId="2" fillId="0" borderId="0" xfId="0" applyNumberFormat="1" applyFont="1" applyAlignment="1">
      <alignment horizontal="right" vertical="center"/>
    </xf>
    <xf numFmtId="170" fontId="2" fillId="0" borderId="0" xfId="0" applyNumberFormat="1" applyFont="1" applyAlignment="1">
      <alignment horizontal="right" vertical="center"/>
    </xf>
    <xf numFmtId="0" fontId="2" fillId="0" borderId="0" xfId="0" applyFont="1" applyAlignment="1">
      <alignment horizontal="center" vertical="center"/>
    </xf>
    <xf numFmtId="169" fontId="8" fillId="0" borderId="0" xfId="0" applyNumberFormat="1" applyFont="1" applyAlignment="1">
      <alignment horizontal="right" vertical="center"/>
    </xf>
    <xf numFmtId="170" fontId="8" fillId="0" borderId="0" xfId="0" applyNumberFormat="1" applyFont="1" applyAlignment="1">
      <alignment horizontal="right" vertical="center"/>
    </xf>
    <xf numFmtId="0" fontId="4" fillId="0" borderId="0" xfId="0" applyFont="1" applyAlignment="1">
      <alignment horizontal="right" vertical="center"/>
    </xf>
    <xf numFmtId="168" fontId="4" fillId="0" borderId="0" xfId="0" applyNumberFormat="1" applyFont="1" applyAlignment="1">
      <alignment horizontal="right" vertical="center"/>
    </xf>
    <xf numFmtId="2" fontId="3" fillId="0" borderId="0" xfId="0" applyNumberFormat="1" applyFont="1" applyAlignment="1">
      <alignment horizontal="right" vertical="center"/>
    </xf>
    <xf numFmtId="171" fontId="2" fillId="0" borderId="0" xfId="0" applyNumberFormat="1" applyFont="1" applyAlignment="1">
      <alignment horizontal="right" vertical="center"/>
    </xf>
    <xf numFmtId="168" fontId="5" fillId="0" borderId="0" xfId="0" applyNumberFormat="1" applyFont="1" applyAlignment="1">
      <alignment horizontal="right" vertical="center"/>
    </xf>
    <xf numFmtId="170" fontId="11" fillId="0" borderId="0" xfId="0" applyNumberFormat="1" applyFont="1" applyAlignment="1">
      <alignment horizontal="right" vertical="center"/>
    </xf>
    <xf numFmtId="166" fontId="3" fillId="0" borderId="0" xfId="0" applyNumberFormat="1" applyFont="1" applyAlignment="1">
      <alignment horizontal="right" vertical="center"/>
    </xf>
    <xf numFmtId="164" fontId="3" fillId="0" borderId="0" xfId="0" applyNumberFormat="1" applyFont="1" applyAlignment="1">
      <alignment horizontal="right" vertical="center"/>
    </xf>
    <xf numFmtId="0" fontId="1" fillId="0" borderId="0" xfId="0" applyFont="1" applyAlignment="1">
      <alignment horizontal="left" vertical="center" indent="1"/>
    </xf>
    <xf numFmtId="49" fontId="3" fillId="0" borderId="0" xfId="0" applyNumberFormat="1" applyFont="1" applyAlignment="1">
      <alignment horizontal="right" vertical="center"/>
    </xf>
    <xf numFmtId="0" fontId="13" fillId="0" borderId="0" xfId="0" applyFont="1" applyAlignment="1">
      <alignment horizontal="left" vertical="center" indent="1"/>
    </xf>
    <xf numFmtId="0" fontId="14" fillId="0" borderId="0" xfId="0" applyFont="1"/>
    <xf numFmtId="164" fontId="15" fillId="0" borderId="0" xfId="0" applyNumberFormat="1" applyFont="1" applyAlignment="1">
      <alignment horizontal="right" vertical="center"/>
    </xf>
    <xf numFmtId="166" fontId="4" fillId="0" borderId="0" xfId="0" applyNumberFormat="1" applyFont="1" applyAlignment="1">
      <alignment horizontal="right" vertical="center"/>
    </xf>
    <xf numFmtId="0" fontId="3" fillId="0" borderId="0" xfId="0" applyFont="1"/>
    <xf numFmtId="0" fontId="13" fillId="0" borderId="0" xfId="0" applyFont="1"/>
    <xf numFmtId="1" fontId="4" fillId="0" borderId="0" xfId="0" applyNumberFormat="1" applyFont="1" applyAlignment="1">
      <alignment horizontal="right" vertical="center"/>
    </xf>
    <xf numFmtId="0" fontId="1" fillId="0" borderId="0" xfId="0" applyFont="1"/>
    <xf numFmtId="0" fontId="17" fillId="2" borderId="0" xfId="0" applyFont="1" applyFill="1" applyAlignment="1">
      <alignment horizontal="center" vertical="center" wrapText="1"/>
    </xf>
    <xf numFmtId="0" fontId="1" fillId="2" borderId="0" xfId="0" applyFont="1" applyFill="1" applyAlignment="1">
      <alignment horizontal="center" vertical="center" wrapText="1"/>
    </xf>
    <xf numFmtId="0" fontId="10" fillId="0" borderId="0" xfId="0" applyFont="1" applyAlignment="1">
      <alignment horizontal="center" vertical="center" wrapText="1"/>
    </xf>
    <xf numFmtId="164" fontId="11" fillId="0" borderId="0" xfId="0" applyNumberFormat="1" applyFont="1" applyAlignment="1">
      <alignment horizontal="right" vertical="center"/>
    </xf>
    <xf numFmtId="164" fontId="9" fillId="0" borderId="0" xfId="0" applyNumberFormat="1" applyFont="1" applyAlignment="1">
      <alignment horizontal="right" vertical="center"/>
    </xf>
    <xf numFmtId="164" fontId="10" fillId="0" borderId="0" xfId="0" applyNumberFormat="1" applyFont="1" applyAlignment="1">
      <alignment horizontal="right" vertical="center"/>
    </xf>
    <xf numFmtId="0" fontId="19" fillId="2" borderId="0" xfId="0" applyFont="1" applyFill="1"/>
    <xf numFmtId="0" fontId="4" fillId="0" borderId="0" xfId="0" applyFont="1" applyAlignment="1">
      <alignment horizontal="center" vertical="center"/>
    </xf>
    <xf numFmtId="0" fontId="10" fillId="0" borderId="0" xfId="0" applyFont="1" applyAlignment="1">
      <alignment horizontal="center" vertical="center"/>
    </xf>
    <xf numFmtId="0" fontId="1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703C"/>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showGridLines="0" tabSelected="1" zoomScaleNormal="100" workbookViewId="0">
      <selection sqref="A1:E1"/>
    </sheetView>
  </sheetViews>
  <sheetFormatPr baseColWidth="10" defaultColWidth="8.6640625" defaultRowHeight="15" x14ac:dyDescent="0.2"/>
  <cols>
    <col min="1" max="1" width="30" customWidth="1"/>
    <col min="2" max="5" width="13" customWidth="1"/>
  </cols>
  <sheetData>
    <row r="1" spans="1:5" ht="21.75" customHeight="1" x14ac:dyDescent="0.2">
      <c r="A1" s="14" t="s">
        <v>0</v>
      </c>
      <c r="B1" s="14"/>
      <c r="C1" s="14"/>
      <c r="D1" s="14"/>
      <c r="E1" s="14"/>
    </row>
    <row r="2" spans="1:5" ht="15.75" customHeight="1" x14ac:dyDescent="0.2">
      <c r="A2" s="16" t="s">
        <v>1</v>
      </c>
      <c r="B2" s="15" t="s">
        <v>2</v>
      </c>
      <c r="C2" s="15" t="s">
        <v>3</v>
      </c>
      <c r="D2" s="15" t="s">
        <v>4</v>
      </c>
      <c r="E2" s="15" t="s">
        <v>5</v>
      </c>
    </row>
    <row r="3" spans="1:5" ht="15.75" customHeight="1" x14ac:dyDescent="0.2">
      <c r="A3" s="15"/>
      <c r="B3" s="15" t="s">
        <v>6</v>
      </c>
      <c r="C3" s="15" t="s">
        <v>7</v>
      </c>
      <c r="D3" s="15" t="s">
        <v>8</v>
      </c>
      <c r="E3" s="15" t="s">
        <v>5</v>
      </c>
    </row>
    <row r="4" spans="1:5" ht="15.75" customHeight="1" x14ac:dyDescent="0.2">
      <c r="A4" s="17" t="s">
        <v>9</v>
      </c>
    </row>
    <row r="5" spans="1:5" ht="15.75" customHeight="1" x14ac:dyDescent="0.2">
      <c r="A5" s="18" t="s">
        <v>10</v>
      </c>
      <c r="B5" s="19">
        <v>-8</v>
      </c>
      <c r="C5" s="19">
        <v>-5.75</v>
      </c>
      <c r="D5" s="19">
        <v>-4.4470000000000001</v>
      </c>
      <c r="E5" s="19">
        <v>-18.196999999999999</v>
      </c>
    </row>
    <row r="6" spans="1:5" ht="15.75" customHeight="1" x14ac:dyDescent="0.2">
      <c r="A6" s="17" t="s">
        <v>11</v>
      </c>
    </row>
    <row r="7" spans="1:5" ht="15.75" customHeight="1" x14ac:dyDescent="0.2">
      <c r="A7" s="18" t="s">
        <v>12</v>
      </c>
      <c r="B7" s="20">
        <v>3.9359999999999999</v>
      </c>
      <c r="C7" s="20">
        <v>4.2460000000000004</v>
      </c>
      <c r="D7" s="20">
        <v>4.0640000000000001</v>
      </c>
      <c r="E7" s="20">
        <v>12.246</v>
      </c>
    </row>
    <row r="8" spans="1:5" ht="15.75" customHeight="1" x14ac:dyDescent="0.2">
      <c r="A8" s="17" t="s">
        <v>13</v>
      </c>
      <c r="B8" s="21">
        <v>-4.0640000000000001</v>
      </c>
      <c r="C8" s="21">
        <v>-1.504</v>
      </c>
      <c r="D8" s="21">
        <v>-0.38300000000000001</v>
      </c>
      <c r="E8" s="21">
        <v>-5.9509999999999996</v>
      </c>
    </row>
    <row r="10" spans="1:5" ht="30" customHeight="1" x14ac:dyDescent="0.2">
      <c r="A10" s="13" t="s">
        <v>14</v>
      </c>
      <c r="B10" s="13"/>
      <c r="C10" s="13"/>
      <c r="D10" s="13"/>
      <c r="E10" s="13"/>
    </row>
    <row r="12" spans="1:5" ht="15.75" customHeight="1" x14ac:dyDescent="0.2">
      <c r="A12" s="12" t="s">
        <v>15</v>
      </c>
      <c r="B12" s="12"/>
      <c r="C12" s="12"/>
      <c r="D12" s="12"/>
      <c r="E12" s="12"/>
    </row>
    <row r="13" spans="1:5" ht="15.75" customHeight="1" x14ac:dyDescent="0.2">
      <c r="A13" s="11" t="s">
        <v>16</v>
      </c>
      <c r="B13" s="11"/>
      <c r="C13" s="11"/>
      <c r="D13" s="11"/>
      <c r="E13" s="11"/>
    </row>
    <row r="14" spans="1:5" ht="84" customHeight="1" x14ac:dyDescent="0.2">
      <c r="A14" s="10" t="s">
        <v>17</v>
      </c>
      <c r="B14" s="10"/>
      <c r="C14" s="10"/>
      <c r="D14" s="10"/>
      <c r="E14" s="10"/>
    </row>
    <row r="15" spans="1:5" ht="15.75" customHeight="1" x14ac:dyDescent="0.2">
      <c r="A15" s="11" t="s">
        <v>18</v>
      </c>
      <c r="B15" s="11"/>
      <c r="C15" s="11"/>
      <c r="D15" s="11"/>
      <c r="E15" s="11"/>
    </row>
    <row r="16" spans="1:5" ht="84" customHeight="1" x14ac:dyDescent="0.2">
      <c r="A16" s="10" t="s">
        <v>19</v>
      </c>
      <c r="B16" s="10"/>
      <c r="C16" s="10"/>
      <c r="D16" s="10"/>
      <c r="E16" s="10"/>
    </row>
    <row r="17" spans="1:5" ht="15.75" customHeight="1" x14ac:dyDescent="0.2">
      <c r="A17" s="11" t="s">
        <v>20</v>
      </c>
      <c r="B17" s="11"/>
      <c r="C17" s="11"/>
      <c r="D17" s="11"/>
      <c r="E17" s="11"/>
    </row>
    <row r="18" spans="1:5" ht="96" customHeight="1" x14ac:dyDescent="0.2">
      <c r="A18" s="10" t="s">
        <v>21</v>
      </c>
      <c r="B18" s="10"/>
      <c r="C18" s="10"/>
      <c r="D18" s="10"/>
      <c r="E18" s="10"/>
    </row>
    <row r="19" spans="1:5" ht="15.75" customHeight="1" x14ac:dyDescent="0.2">
      <c r="A19" s="11" t="s">
        <v>22</v>
      </c>
      <c r="B19" s="11"/>
      <c r="C19" s="11"/>
      <c r="D19" s="11"/>
      <c r="E19" s="11"/>
    </row>
    <row r="20" spans="1:5" ht="108" customHeight="1" x14ac:dyDescent="0.2">
      <c r="A20" s="10" t="s">
        <v>23</v>
      </c>
      <c r="B20" s="10"/>
      <c r="C20" s="10"/>
      <c r="D20" s="10"/>
      <c r="E20" s="10"/>
    </row>
    <row r="22" spans="1:5" ht="15.75" customHeight="1" x14ac:dyDescent="0.2">
      <c r="A22" s="12" t="s">
        <v>24</v>
      </c>
      <c r="B22" s="12"/>
      <c r="C22" s="12"/>
      <c r="D22" s="12"/>
      <c r="E22" s="12"/>
    </row>
    <row r="23" spans="1:5" ht="15.75" customHeight="1" x14ac:dyDescent="0.2">
      <c r="A23" s="11" t="s">
        <v>25</v>
      </c>
      <c r="B23" s="11"/>
      <c r="C23" s="11"/>
      <c r="D23" s="11"/>
      <c r="E23" s="11"/>
    </row>
    <row r="24" spans="1:5" ht="84" customHeight="1" x14ac:dyDescent="0.2">
      <c r="A24" s="10" t="s">
        <v>26</v>
      </c>
      <c r="B24" s="10"/>
      <c r="C24" s="10"/>
      <c r="D24" s="10"/>
      <c r="E24" s="10"/>
    </row>
    <row r="25" spans="1:5" ht="15.75" customHeight="1" x14ac:dyDescent="0.2">
      <c r="A25" s="11" t="s">
        <v>27</v>
      </c>
      <c r="B25" s="11"/>
      <c r="C25" s="11"/>
      <c r="D25" s="11"/>
      <c r="E25" s="11"/>
    </row>
    <row r="26" spans="1:5" ht="108" customHeight="1" x14ac:dyDescent="0.2">
      <c r="A26" s="10" t="s">
        <v>28</v>
      </c>
      <c r="B26" s="10"/>
      <c r="C26" s="10"/>
      <c r="D26" s="10"/>
      <c r="E26" s="10"/>
    </row>
    <row r="27" spans="1:5" ht="15.75" customHeight="1" x14ac:dyDescent="0.2">
      <c r="A27" s="11" t="s">
        <v>29</v>
      </c>
      <c r="B27" s="11"/>
      <c r="C27" s="11"/>
      <c r="D27" s="11"/>
      <c r="E27" s="11"/>
    </row>
    <row r="28" spans="1:5" ht="84" customHeight="1" x14ac:dyDescent="0.2">
      <c r="A28" s="10" t="s">
        <v>30</v>
      </c>
      <c r="B28" s="10"/>
      <c r="C28" s="10"/>
      <c r="D28" s="10"/>
      <c r="E28" s="10"/>
    </row>
    <row r="29" spans="1:5" ht="15.75" customHeight="1" x14ac:dyDescent="0.2">
      <c r="A29" s="11" t="s">
        <v>31</v>
      </c>
      <c r="B29" s="11"/>
      <c r="C29" s="11"/>
      <c r="D29" s="11"/>
      <c r="E29" s="11"/>
    </row>
    <row r="30" spans="1:5" ht="96" customHeight="1" x14ac:dyDescent="0.2">
      <c r="A30" s="10" t="s">
        <v>32</v>
      </c>
      <c r="B30" s="10"/>
      <c r="C30" s="10"/>
      <c r="D30" s="10"/>
      <c r="E30" s="10"/>
    </row>
    <row r="31" spans="1:5" ht="15.75" customHeight="1" x14ac:dyDescent="0.2">
      <c r="A31" s="11" t="s">
        <v>33</v>
      </c>
      <c r="B31" s="11"/>
      <c r="C31" s="11"/>
      <c r="D31" s="11"/>
      <c r="E31" s="11"/>
    </row>
    <row r="32" spans="1:5" ht="108" customHeight="1" x14ac:dyDescent="0.2">
      <c r="A32" s="10" t="s">
        <v>34</v>
      </c>
      <c r="B32" s="10"/>
      <c r="C32" s="10"/>
      <c r="D32" s="10"/>
      <c r="E32" s="10"/>
    </row>
  </sheetData>
  <mergeCells count="22">
    <mergeCell ref="A31:E31"/>
    <mergeCell ref="A32:E32"/>
    <mergeCell ref="A26:E26"/>
    <mergeCell ref="A27:E27"/>
    <mergeCell ref="A28:E28"/>
    <mergeCell ref="A29:E29"/>
    <mergeCell ref="A30:E30"/>
    <mergeCell ref="A20:E20"/>
    <mergeCell ref="A22:E22"/>
    <mergeCell ref="A23:E23"/>
    <mergeCell ref="A24:E24"/>
    <mergeCell ref="A25:E25"/>
    <mergeCell ref="A15:E15"/>
    <mergeCell ref="A16:E16"/>
    <mergeCell ref="A17:E17"/>
    <mergeCell ref="A18:E18"/>
    <mergeCell ref="A19:E19"/>
    <mergeCell ref="A1:E1"/>
    <mergeCell ref="A10:E10"/>
    <mergeCell ref="A12:E12"/>
    <mergeCell ref="A13:E13"/>
    <mergeCell ref="A14:E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showGridLines="0" zoomScaleNormal="100" workbookViewId="0">
      <selection sqref="A1:D1"/>
    </sheetView>
  </sheetViews>
  <sheetFormatPr baseColWidth="10" defaultColWidth="8.6640625" defaultRowHeight="15" x14ac:dyDescent="0.2"/>
  <cols>
    <col min="1" max="1" width="28" customWidth="1"/>
    <col min="2" max="3" width="22" customWidth="1"/>
    <col min="4" max="4" width="28" customWidth="1"/>
  </cols>
  <sheetData>
    <row r="1" spans="1:4" ht="24" customHeight="1" x14ac:dyDescent="0.2">
      <c r="A1" s="9" t="s">
        <v>35</v>
      </c>
      <c r="B1" s="9"/>
      <c r="C1" s="9"/>
      <c r="D1" s="9"/>
    </row>
    <row r="2" spans="1:4" ht="15.75" customHeight="1" x14ac:dyDescent="0.2">
      <c r="A2" s="12" t="s">
        <v>36</v>
      </c>
      <c r="B2" s="12"/>
      <c r="C2" s="12"/>
      <c r="D2" s="12"/>
    </row>
    <row r="3" spans="1:4" ht="15.75" customHeight="1" x14ac:dyDescent="0.2">
      <c r="A3" s="15" t="s">
        <v>37</v>
      </c>
      <c r="B3" s="15" t="s">
        <v>38</v>
      </c>
      <c r="C3" s="15" t="s">
        <v>39</v>
      </c>
      <c r="D3" s="15" t="s">
        <v>40</v>
      </c>
    </row>
    <row r="4" spans="1:4" ht="15.75" customHeight="1" x14ac:dyDescent="0.2">
      <c r="A4" s="23" t="s">
        <v>41</v>
      </c>
      <c r="B4" s="24" t="s">
        <v>42</v>
      </c>
      <c r="C4" s="24" t="s">
        <v>43</v>
      </c>
      <c r="D4" s="25" t="s">
        <v>44</v>
      </c>
    </row>
    <row r="5" spans="1:4" ht="15.75" customHeight="1" x14ac:dyDescent="0.2">
      <c r="A5" s="23" t="s">
        <v>45</v>
      </c>
      <c r="B5" s="24" t="s">
        <v>46</v>
      </c>
      <c r="C5" s="24" t="s">
        <v>47</v>
      </c>
      <c r="D5" s="25" t="s">
        <v>48</v>
      </c>
    </row>
    <row r="6" spans="1:4" ht="15.75" customHeight="1" x14ac:dyDescent="0.2">
      <c r="A6" s="23" t="s">
        <v>49</v>
      </c>
      <c r="B6" s="24" t="s">
        <v>50</v>
      </c>
      <c r="C6" s="24" t="s">
        <v>51</v>
      </c>
      <c r="D6" s="24" t="s">
        <v>52</v>
      </c>
    </row>
    <row r="7" spans="1:4" ht="15.75" customHeight="1" x14ac:dyDescent="0.2">
      <c r="A7" s="23" t="s">
        <v>53</v>
      </c>
      <c r="B7" s="24" t="s">
        <v>54</v>
      </c>
      <c r="C7" s="24" t="s">
        <v>55</v>
      </c>
      <c r="D7" s="24" t="s">
        <v>56</v>
      </c>
    </row>
    <row r="8" spans="1:4" ht="15.75" customHeight="1" x14ac:dyDescent="0.2">
      <c r="A8" s="23" t="s">
        <v>57</v>
      </c>
      <c r="B8" s="24" t="s">
        <v>58</v>
      </c>
      <c r="C8" s="24" t="s">
        <v>59</v>
      </c>
      <c r="D8" s="24" t="s">
        <v>60</v>
      </c>
    </row>
    <row r="9" spans="1:4" ht="15.75" customHeight="1" x14ac:dyDescent="0.2">
      <c r="A9" s="23" t="s">
        <v>61</v>
      </c>
      <c r="B9" s="24" t="s">
        <v>62</v>
      </c>
      <c r="C9" s="24" t="s">
        <v>63</v>
      </c>
      <c r="D9" s="25" t="s">
        <v>64</v>
      </c>
    </row>
    <row r="10" spans="1:4" ht="15.75" customHeight="1" x14ac:dyDescent="0.2">
      <c r="A10" s="23" t="s">
        <v>65</v>
      </c>
      <c r="B10" s="24" t="s">
        <v>66</v>
      </c>
      <c r="C10" s="24" t="s">
        <v>67</v>
      </c>
      <c r="D10" s="25" t="s">
        <v>68</v>
      </c>
    </row>
    <row r="11" spans="1:4" ht="15.75" customHeight="1" x14ac:dyDescent="0.2">
      <c r="A11" s="23" t="s">
        <v>69</v>
      </c>
      <c r="B11" s="24" t="s">
        <v>70</v>
      </c>
      <c r="C11" s="24" t="s">
        <v>71</v>
      </c>
      <c r="D11" s="24" t="s">
        <v>72</v>
      </c>
    </row>
    <row r="12" spans="1:4" ht="15.75" customHeight="1" x14ac:dyDescent="0.2">
      <c r="A12" s="23" t="s">
        <v>73</v>
      </c>
      <c r="B12" s="24" t="s">
        <v>74</v>
      </c>
      <c r="C12" s="24" t="s">
        <v>75</v>
      </c>
      <c r="D12" s="24" t="s">
        <v>76</v>
      </c>
    </row>
    <row r="13" spans="1:4" ht="15.75" customHeight="1" x14ac:dyDescent="0.2">
      <c r="A13" s="23" t="s">
        <v>77</v>
      </c>
      <c r="B13" s="24" t="s">
        <v>78</v>
      </c>
      <c r="C13" s="24" t="s">
        <v>79</v>
      </c>
      <c r="D13" s="25" t="s">
        <v>80</v>
      </c>
    </row>
    <row r="14" spans="1:4" ht="15.75" customHeight="1" x14ac:dyDescent="0.2">
      <c r="A14" s="23" t="s">
        <v>81</v>
      </c>
      <c r="B14" s="24" t="s">
        <v>82</v>
      </c>
      <c r="C14" s="24" t="s">
        <v>83</v>
      </c>
      <c r="D14" s="25" t="s">
        <v>84</v>
      </c>
    </row>
    <row r="15" spans="1:4" ht="15.75" customHeight="1" x14ac:dyDescent="0.2">
      <c r="A15" s="23" t="s">
        <v>85</v>
      </c>
      <c r="B15" s="24" t="s">
        <v>86</v>
      </c>
      <c r="C15" s="24" t="s">
        <v>87</v>
      </c>
      <c r="D15" s="24" t="s">
        <v>88</v>
      </c>
    </row>
    <row r="16" spans="1:4" ht="15.75" customHeight="1" x14ac:dyDescent="0.2">
      <c r="A16" s="23" t="s">
        <v>89</v>
      </c>
      <c r="B16" s="24" t="s">
        <v>90</v>
      </c>
      <c r="C16" s="24" t="s">
        <v>91</v>
      </c>
      <c r="D16" s="24" t="s">
        <v>88</v>
      </c>
    </row>
    <row r="17" spans="1:4" ht="15.75" customHeight="1" x14ac:dyDescent="0.2">
      <c r="A17" s="23" t="s">
        <v>92</v>
      </c>
      <c r="B17" s="24" t="s">
        <v>93</v>
      </c>
      <c r="C17" s="24" t="s">
        <v>94</v>
      </c>
      <c r="D17" s="25" t="s">
        <v>95</v>
      </c>
    </row>
    <row r="19" spans="1:4" ht="15.75" customHeight="1" x14ac:dyDescent="0.2">
      <c r="A19" s="12" t="s">
        <v>96</v>
      </c>
      <c r="B19" s="12"/>
      <c r="C19" s="12"/>
      <c r="D19" s="12"/>
    </row>
    <row r="20" spans="1:4" ht="15.75" customHeight="1" x14ac:dyDescent="0.2">
      <c r="A20" s="11" t="s">
        <v>97</v>
      </c>
      <c r="B20" s="11"/>
      <c r="C20" s="11"/>
      <c r="D20" s="11"/>
    </row>
    <row r="21" spans="1:4" ht="96" customHeight="1" x14ac:dyDescent="0.2">
      <c r="A21" s="10" t="s">
        <v>98</v>
      </c>
      <c r="B21" s="10"/>
      <c r="C21" s="10"/>
      <c r="D21" s="10"/>
    </row>
    <row r="22" spans="1:4" ht="15.75" customHeight="1" x14ac:dyDescent="0.2">
      <c r="A22" s="11" t="s">
        <v>99</v>
      </c>
      <c r="B22" s="11"/>
      <c r="C22" s="11"/>
      <c r="D22" s="11"/>
    </row>
    <row r="23" spans="1:4" ht="96" customHeight="1" x14ac:dyDescent="0.2">
      <c r="A23" s="10" t="s">
        <v>100</v>
      </c>
      <c r="B23" s="10"/>
      <c r="C23" s="10"/>
      <c r="D23" s="10"/>
    </row>
    <row r="24" spans="1:4" ht="15.75" customHeight="1" x14ac:dyDescent="0.2">
      <c r="A24" s="11" t="s">
        <v>101</v>
      </c>
      <c r="B24" s="11"/>
      <c r="C24" s="11"/>
      <c r="D24" s="11"/>
    </row>
    <row r="25" spans="1:4" ht="96" customHeight="1" x14ac:dyDescent="0.2">
      <c r="A25" s="10" t="s">
        <v>102</v>
      </c>
      <c r="B25" s="10"/>
      <c r="C25" s="10"/>
      <c r="D25" s="10"/>
    </row>
    <row r="26" spans="1:4" ht="15.75" customHeight="1" x14ac:dyDescent="0.2">
      <c r="A26" s="11" t="s">
        <v>103</v>
      </c>
      <c r="B26" s="11"/>
      <c r="C26" s="11"/>
      <c r="D26" s="11"/>
    </row>
    <row r="27" spans="1:4" ht="60" customHeight="1" x14ac:dyDescent="0.2">
      <c r="A27" s="10" t="s">
        <v>104</v>
      </c>
      <c r="B27" s="10"/>
      <c r="C27" s="10"/>
      <c r="D27" s="10"/>
    </row>
    <row r="29" spans="1:4" ht="15.75" customHeight="1" x14ac:dyDescent="0.2">
      <c r="A29" s="12" t="s">
        <v>105</v>
      </c>
      <c r="B29" s="12"/>
      <c r="C29" s="12"/>
      <c r="D29" s="12"/>
    </row>
    <row r="30" spans="1:4" ht="15.75" customHeight="1" x14ac:dyDescent="0.2">
      <c r="A30" s="11" t="s">
        <v>106</v>
      </c>
      <c r="B30" s="11"/>
      <c r="C30" s="11"/>
      <c r="D30" s="11"/>
    </row>
    <row r="31" spans="1:4" ht="96" customHeight="1" x14ac:dyDescent="0.2">
      <c r="A31" s="10" t="s">
        <v>107</v>
      </c>
      <c r="B31" s="10"/>
      <c r="C31" s="10"/>
      <c r="D31" s="10"/>
    </row>
    <row r="32" spans="1:4" ht="15.75" customHeight="1" x14ac:dyDescent="0.2">
      <c r="A32" s="11" t="s">
        <v>108</v>
      </c>
      <c r="B32" s="11"/>
      <c r="C32" s="11"/>
      <c r="D32" s="11"/>
    </row>
    <row r="33" spans="1:4" ht="108" customHeight="1" x14ac:dyDescent="0.2">
      <c r="A33" s="10" t="s">
        <v>109</v>
      </c>
      <c r="B33" s="10"/>
      <c r="C33" s="10"/>
      <c r="D33" s="10"/>
    </row>
  </sheetData>
  <mergeCells count="16">
    <mergeCell ref="A33:D33"/>
    <mergeCell ref="A27:D27"/>
    <mergeCell ref="A29:D29"/>
    <mergeCell ref="A30:D30"/>
    <mergeCell ref="A31:D31"/>
    <mergeCell ref="A32:D32"/>
    <mergeCell ref="A22:D22"/>
    <mergeCell ref="A23:D23"/>
    <mergeCell ref="A24:D24"/>
    <mergeCell ref="A25:D25"/>
    <mergeCell ref="A26:D26"/>
    <mergeCell ref="A1:D1"/>
    <mergeCell ref="A2:D2"/>
    <mergeCell ref="A19:D19"/>
    <mergeCell ref="A20:D20"/>
    <mergeCell ref="A21:D2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3"/>
  <sheetViews>
    <sheetView showGridLines="0" zoomScaleNormal="100" workbookViewId="0"/>
  </sheetViews>
  <sheetFormatPr baseColWidth="10" defaultColWidth="8.6640625" defaultRowHeight="15" x14ac:dyDescent="0.2"/>
  <cols>
    <col min="1" max="1" width="32" customWidth="1"/>
    <col min="2" max="5" width="16" customWidth="1"/>
    <col min="6" max="6" width="20" customWidth="1"/>
  </cols>
  <sheetData>
    <row r="1" spans="1:6" ht="21.75" customHeight="1" x14ac:dyDescent="0.2">
      <c r="A1" s="14" t="s">
        <v>110</v>
      </c>
      <c r="B1" s="14"/>
      <c r="C1" s="14"/>
      <c r="D1" s="14"/>
      <c r="E1" s="14"/>
      <c r="F1" s="14"/>
    </row>
    <row r="2" spans="1:6" ht="15.75" customHeight="1" x14ac:dyDescent="0.2">
      <c r="A2" s="15"/>
      <c r="B2" s="15" t="s">
        <v>6</v>
      </c>
      <c r="C2" s="15" t="s">
        <v>7</v>
      </c>
      <c r="D2" s="15" t="s">
        <v>8</v>
      </c>
      <c r="E2" s="15" t="s">
        <v>5</v>
      </c>
      <c r="F2" s="15"/>
    </row>
    <row r="3" spans="1:6" ht="15.75" customHeight="1" x14ac:dyDescent="0.2">
      <c r="A3" s="12" t="s">
        <v>111</v>
      </c>
      <c r="B3" s="12"/>
      <c r="C3" s="12"/>
      <c r="D3" s="12"/>
      <c r="E3" s="12"/>
      <c r="F3" s="12"/>
    </row>
    <row r="4" spans="1:6" ht="15.75" customHeight="1" x14ac:dyDescent="0.2">
      <c r="A4" s="23" t="s">
        <v>112</v>
      </c>
      <c r="B4" s="8">
        <v>50</v>
      </c>
      <c r="C4" s="8"/>
      <c r="D4" s="8"/>
    </row>
    <row r="5" spans="1:6" ht="15.75" customHeight="1" x14ac:dyDescent="0.2">
      <c r="A5" s="23" t="s">
        <v>113</v>
      </c>
      <c r="B5" s="26">
        <v>312.5</v>
      </c>
    </row>
    <row r="6" spans="1:6" ht="15.75" customHeight="1" x14ac:dyDescent="0.2">
      <c r="A6" s="23" t="s">
        <v>114</v>
      </c>
      <c r="B6" s="19">
        <v>102.875</v>
      </c>
    </row>
    <row r="7" spans="1:6" ht="15.75" customHeight="1" x14ac:dyDescent="0.2">
      <c r="A7" s="23" t="s">
        <v>115</v>
      </c>
      <c r="B7" s="27">
        <v>29.5</v>
      </c>
    </row>
    <row r="8" spans="1:6" ht="15.75" customHeight="1" x14ac:dyDescent="0.2">
      <c r="A8" s="23" t="s">
        <v>116</v>
      </c>
      <c r="B8" s="28">
        <v>3.6999999999999998E-2</v>
      </c>
    </row>
    <row r="9" spans="1:6" ht="15.75" customHeight="1" x14ac:dyDescent="0.2">
      <c r="A9" s="23" t="s">
        <v>117</v>
      </c>
      <c r="B9" s="28">
        <v>3.95E-2</v>
      </c>
    </row>
    <row r="10" spans="1:6" ht="15.75" customHeight="1" x14ac:dyDescent="0.2">
      <c r="A10" s="12" t="s">
        <v>118</v>
      </c>
      <c r="B10" s="12"/>
      <c r="C10" s="12"/>
      <c r="D10" s="12"/>
      <c r="E10" s="12"/>
      <c r="F10" s="12"/>
    </row>
    <row r="11" spans="1:6" ht="15.75" customHeight="1" x14ac:dyDescent="0.2">
      <c r="A11" s="23" t="s">
        <v>119</v>
      </c>
      <c r="B11" s="29">
        <v>-8</v>
      </c>
      <c r="C11" s="29">
        <v>-5.75</v>
      </c>
      <c r="D11" s="29">
        <v>-4.4470000000000001</v>
      </c>
      <c r="E11" s="29">
        <v>-18.196999999999999</v>
      </c>
    </row>
    <row r="12" spans="1:6" ht="15.75" customHeight="1" x14ac:dyDescent="0.2">
      <c r="A12" s="23" t="s">
        <v>120</v>
      </c>
      <c r="B12" s="30">
        <v>3.9359999999999999</v>
      </c>
      <c r="C12" s="30">
        <v>4.2460000000000004</v>
      </c>
      <c r="D12" s="30">
        <v>4.0640000000000001</v>
      </c>
      <c r="E12" s="30">
        <v>12.246</v>
      </c>
    </row>
    <row r="13" spans="1:6" ht="15.75" customHeight="1" x14ac:dyDescent="0.2">
      <c r="A13" s="22" t="s">
        <v>121</v>
      </c>
      <c r="B13" s="21">
        <v>-4.0640000000000001</v>
      </c>
      <c r="C13" s="21">
        <v>-1.504</v>
      </c>
      <c r="D13" s="21">
        <v>-0.38300000000000001</v>
      </c>
      <c r="E13" s="21">
        <v>-5.9509999999999996</v>
      </c>
    </row>
    <row r="14" spans="1:6" ht="15.75" customHeight="1" x14ac:dyDescent="0.2">
      <c r="A14" s="12" t="s">
        <v>122</v>
      </c>
      <c r="B14" s="12"/>
      <c r="C14" s="12"/>
      <c r="D14" s="12"/>
      <c r="E14" s="12"/>
      <c r="F14" s="12"/>
    </row>
    <row r="15" spans="1:6" ht="15.75" customHeight="1" x14ac:dyDescent="0.2">
      <c r="A15" s="23" t="s">
        <v>123</v>
      </c>
      <c r="B15" s="31">
        <v>-1270</v>
      </c>
      <c r="C15" s="31">
        <v>-470</v>
      </c>
      <c r="D15" s="31">
        <v>-119.6875</v>
      </c>
      <c r="E15" s="31">
        <v>-1859.6875</v>
      </c>
    </row>
    <row r="16" spans="1:6" ht="15.75" customHeight="1" x14ac:dyDescent="0.2">
      <c r="A16" s="22" t="s">
        <v>124</v>
      </c>
      <c r="B16" s="32">
        <v>-63500</v>
      </c>
      <c r="C16" s="32">
        <v>-23500</v>
      </c>
      <c r="D16" s="32">
        <v>-5984.375</v>
      </c>
      <c r="E16" s="32">
        <v>-92984.375</v>
      </c>
    </row>
    <row r="17" spans="1:6" ht="15.75" customHeight="1" x14ac:dyDescent="0.2">
      <c r="A17" s="12" t="s">
        <v>125</v>
      </c>
      <c r="B17" s="12"/>
      <c r="C17" s="12"/>
      <c r="D17" s="12"/>
      <c r="E17" s="12"/>
      <c r="F17" s="12"/>
    </row>
    <row r="18" spans="1:6" ht="15.75" customHeight="1" x14ac:dyDescent="0.2">
      <c r="A18" s="23" t="s">
        <v>126</v>
      </c>
      <c r="B18" s="33">
        <v>460937.5</v>
      </c>
    </row>
    <row r="19" spans="1:6" ht="15.75" customHeight="1" x14ac:dyDescent="0.2">
      <c r="A19" s="23" t="s">
        <v>127</v>
      </c>
      <c r="B19" s="34">
        <v>9.2187499999999995E-3</v>
      </c>
    </row>
    <row r="20" spans="1:6" ht="15.75" customHeight="1" x14ac:dyDescent="0.2">
      <c r="A20" s="12" t="s">
        <v>128</v>
      </c>
      <c r="B20" s="12"/>
      <c r="C20" s="12"/>
      <c r="D20" s="12"/>
      <c r="E20" s="12"/>
      <c r="F20" s="12"/>
    </row>
    <row r="21" spans="1:6" ht="15.75" customHeight="1" x14ac:dyDescent="0.2">
      <c r="A21" s="22" t="s">
        <v>129</v>
      </c>
      <c r="E21" s="32">
        <v>-92984.375</v>
      </c>
    </row>
    <row r="22" spans="1:6" ht="15.75" customHeight="1" x14ac:dyDescent="0.2">
      <c r="A22" s="23" t="s">
        <v>130</v>
      </c>
      <c r="E22" s="33">
        <v>-460937.5</v>
      </c>
    </row>
    <row r="23" spans="1:6" ht="15.75" customHeight="1" x14ac:dyDescent="0.2">
      <c r="A23" s="11" t="s">
        <v>131</v>
      </c>
      <c r="B23" s="11"/>
      <c r="C23" s="11"/>
      <c r="D23" s="11"/>
      <c r="E23" s="32">
        <v>-553921.875</v>
      </c>
    </row>
    <row r="25" spans="1:6" ht="36" customHeight="1" x14ac:dyDescent="0.2">
      <c r="A25" s="13" t="s">
        <v>132</v>
      </c>
      <c r="B25" s="13"/>
      <c r="C25" s="13"/>
      <c r="D25" s="13"/>
      <c r="E25" s="13"/>
      <c r="F25" s="13"/>
    </row>
    <row r="27" spans="1:6" ht="15.75" customHeight="1" x14ac:dyDescent="0.2">
      <c r="A27" s="12" t="s">
        <v>133</v>
      </c>
      <c r="B27" s="12"/>
      <c r="C27" s="12"/>
      <c r="D27" s="12"/>
      <c r="E27" s="12"/>
      <c r="F27" s="12"/>
    </row>
    <row r="28" spans="1:6" ht="15.75" customHeight="1" x14ac:dyDescent="0.2">
      <c r="A28" s="15" t="s">
        <v>134</v>
      </c>
      <c r="B28" s="15" t="s">
        <v>135</v>
      </c>
      <c r="C28" s="15" t="s">
        <v>136</v>
      </c>
      <c r="D28" s="15" t="s">
        <v>137</v>
      </c>
      <c r="E28" s="15" t="s">
        <v>138</v>
      </c>
      <c r="F28" s="15" t="s">
        <v>139</v>
      </c>
    </row>
    <row r="29" spans="1:6" ht="15.75" customHeight="1" x14ac:dyDescent="0.2">
      <c r="A29" s="35">
        <v>0</v>
      </c>
      <c r="B29" s="36">
        <v>-29.5</v>
      </c>
      <c r="C29" s="37">
        <v>-460937.5</v>
      </c>
      <c r="D29" s="37">
        <v>-92984.375</v>
      </c>
      <c r="E29" s="38">
        <v>-553921.875</v>
      </c>
      <c r="F29" s="24"/>
    </row>
    <row r="30" spans="1:6" ht="15.75" customHeight="1" x14ac:dyDescent="0.2">
      <c r="A30" s="35">
        <v>10</v>
      </c>
      <c r="B30" s="36">
        <v>-19.5</v>
      </c>
      <c r="C30" s="37">
        <v>-304687.5</v>
      </c>
      <c r="D30" s="37">
        <v>-92984.375</v>
      </c>
      <c r="E30" s="38">
        <v>-397671.875</v>
      </c>
      <c r="F30" s="24"/>
    </row>
    <row r="31" spans="1:6" ht="15.75" customHeight="1" x14ac:dyDescent="0.2">
      <c r="A31" s="35">
        <v>15</v>
      </c>
      <c r="B31" s="36">
        <v>-14.5</v>
      </c>
      <c r="C31" s="37">
        <v>-226562.5</v>
      </c>
      <c r="D31" s="37">
        <v>-92984.375</v>
      </c>
      <c r="E31" s="38">
        <v>-319546.875</v>
      </c>
      <c r="F31" s="24"/>
    </row>
    <row r="32" spans="1:6" ht="15.75" customHeight="1" x14ac:dyDescent="0.2">
      <c r="A32" s="35">
        <v>20</v>
      </c>
      <c r="B32" s="36">
        <v>-9.5</v>
      </c>
      <c r="C32" s="37">
        <v>-148437.5</v>
      </c>
      <c r="D32" s="37">
        <v>-92984.375</v>
      </c>
      <c r="E32" s="38">
        <v>-241421.875</v>
      </c>
      <c r="F32" s="24"/>
    </row>
    <row r="33" spans="1:6" ht="15.75" customHeight="1" x14ac:dyDescent="0.2">
      <c r="A33" s="35">
        <v>25</v>
      </c>
      <c r="B33" s="36">
        <v>-4.5</v>
      </c>
      <c r="C33" s="37">
        <v>-70312.5</v>
      </c>
      <c r="D33" s="37">
        <v>-92984.375</v>
      </c>
      <c r="E33" s="37">
        <v>-163296.875</v>
      </c>
      <c r="F33" s="24"/>
    </row>
    <row r="34" spans="1:6" ht="15.75" customHeight="1" x14ac:dyDescent="0.2">
      <c r="A34" s="39">
        <v>29.5</v>
      </c>
      <c r="B34" s="40">
        <v>0</v>
      </c>
      <c r="C34" s="41">
        <v>0</v>
      </c>
      <c r="D34" s="37">
        <v>-92984.375</v>
      </c>
      <c r="E34" s="41">
        <v>-92984.375</v>
      </c>
      <c r="F34" s="42"/>
    </row>
    <row r="35" spans="1:6" ht="15.75" customHeight="1" x14ac:dyDescent="0.2">
      <c r="A35" s="35">
        <v>32</v>
      </c>
      <c r="B35" s="36">
        <v>2.5</v>
      </c>
      <c r="C35" s="37">
        <v>39062.5</v>
      </c>
      <c r="D35" s="37">
        <v>-92984.375</v>
      </c>
      <c r="E35" s="37">
        <v>-53921.875</v>
      </c>
      <c r="F35" s="24"/>
    </row>
    <row r="36" spans="1:6" ht="15.75" customHeight="1" x14ac:dyDescent="0.2">
      <c r="A36" s="35">
        <v>35</v>
      </c>
      <c r="B36" s="36">
        <v>5.5</v>
      </c>
      <c r="C36" s="37">
        <v>85937.5</v>
      </c>
      <c r="D36" s="37">
        <v>-92984.375</v>
      </c>
      <c r="E36" s="37">
        <v>-7046.875</v>
      </c>
      <c r="F36" s="24" t="s">
        <v>140</v>
      </c>
    </row>
    <row r="37" spans="1:6" ht="15.75" customHeight="1" x14ac:dyDescent="0.2">
      <c r="A37" s="39">
        <v>36</v>
      </c>
      <c r="B37" s="43">
        <v>6.5</v>
      </c>
      <c r="C37" s="44">
        <v>101562.5</v>
      </c>
      <c r="D37" s="37">
        <v>-92984.375</v>
      </c>
      <c r="E37" s="44">
        <v>8578.125</v>
      </c>
      <c r="F37" s="25" t="s">
        <v>140</v>
      </c>
    </row>
    <row r="38" spans="1:6" ht="15.75" customHeight="1" x14ac:dyDescent="0.2">
      <c r="A38" s="39">
        <v>40</v>
      </c>
      <c r="B38" s="43">
        <v>10.5</v>
      </c>
      <c r="C38" s="44">
        <v>164062.5</v>
      </c>
      <c r="D38" s="37">
        <v>-92984.375</v>
      </c>
      <c r="E38" s="44">
        <v>71078.125</v>
      </c>
      <c r="F38" s="25" t="s">
        <v>141</v>
      </c>
    </row>
    <row r="39" spans="1:6" ht="15.75" customHeight="1" x14ac:dyDescent="0.2">
      <c r="A39" s="39">
        <v>45</v>
      </c>
      <c r="B39" s="43">
        <v>15.5</v>
      </c>
      <c r="C39" s="44">
        <v>242187.5</v>
      </c>
      <c r="D39" s="37">
        <v>-92984.375</v>
      </c>
      <c r="E39" s="44">
        <v>149203.125</v>
      </c>
      <c r="F39" s="25" t="s">
        <v>141</v>
      </c>
    </row>
    <row r="41" spans="1:6" ht="36" customHeight="1" x14ac:dyDescent="0.2">
      <c r="A41" s="13" t="s">
        <v>142</v>
      </c>
      <c r="B41" s="13"/>
      <c r="C41" s="13"/>
      <c r="D41" s="13"/>
      <c r="E41" s="13"/>
      <c r="F41" s="13"/>
    </row>
    <row r="43" spans="1:6" ht="15.75" customHeight="1" x14ac:dyDescent="0.2">
      <c r="A43" s="12" t="s">
        <v>143</v>
      </c>
      <c r="B43" s="12"/>
      <c r="C43" s="12"/>
      <c r="D43" s="12"/>
      <c r="E43" s="12"/>
      <c r="F43" s="12"/>
    </row>
    <row r="44" spans="1:6" ht="15.75" customHeight="1" x14ac:dyDescent="0.2">
      <c r="A44" s="11" t="s">
        <v>144</v>
      </c>
      <c r="B44" s="11"/>
      <c r="C44" s="11"/>
      <c r="D44" s="11"/>
      <c r="E44" s="11"/>
      <c r="F44" s="11"/>
    </row>
    <row r="45" spans="1:6" ht="72" customHeight="1" x14ac:dyDescent="0.2">
      <c r="A45" s="10" t="s">
        <v>145</v>
      </c>
      <c r="B45" s="10"/>
      <c r="C45" s="10"/>
      <c r="D45" s="10"/>
      <c r="E45" s="10"/>
      <c r="F45" s="10"/>
    </row>
    <row r="46" spans="1:6" ht="15.75" customHeight="1" x14ac:dyDescent="0.2">
      <c r="A46" s="11" t="s">
        <v>146</v>
      </c>
      <c r="B46" s="11"/>
      <c r="C46" s="11"/>
      <c r="D46" s="11"/>
      <c r="E46" s="11"/>
      <c r="F46" s="11"/>
    </row>
    <row r="47" spans="1:6" ht="84" customHeight="1" x14ac:dyDescent="0.2">
      <c r="A47" s="10" t="s">
        <v>147</v>
      </c>
      <c r="B47" s="10"/>
      <c r="C47" s="10"/>
      <c r="D47" s="10"/>
      <c r="E47" s="10"/>
      <c r="F47" s="10"/>
    </row>
    <row r="48" spans="1:6" ht="15.75" customHeight="1" x14ac:dyDescent="0.2">
      <c r="A48" s="11" t="s">
        <v>148</v>
      </c>
      <c r="B48" s="11"/>
      <c r="C48" s="11"/>
      <c r="D48" s="11"/>
      <c r="E48" s="11"/>
      <c r="F48" s="11"/>
    </row>
    <row r="49" spans="1:6" ht="84" customHeight="1" x14ac:dyDescent="0.2">
      <c r="A49" s="10" t="s">
        <v>149</v>
      </c>
      <c r="B49" s="10"/>
      <c r="C49" s="10"/>
      <c r="D49" s="10"/>
      <c r="E49" s="10"/>
      <c r="F49" s="10"/>
    </row>
    <row r="50" spans="1:6" ht="15.75" customHeight="1" x14ac:dyDescent="0.2">
      <c r="A50" s="11" t="s">
        <v>150</v>
      </c>
      <c r="B50" s="11"/>
      <c r="C50" s="11"/>
      <c r="D50" s="11"/>
      <c r="E50" s="11"/>
      <c r="F50" s="11"/>
    </row>
    <row r="51" spans="1:6" ht="84" customHeight="1" x14ac:dyDescent="0.2">
      <c r="A51" s="10" t="s">
        <v>151</v>
      </c>
      <c r="B51" s="10"/>
      <c r="C51" s="10"/>
      <c r="D51" s="10"/>
      <c r="E51" s="10"/>
      <c r="F51" s="10"/>
    </row>
    <row r="52" spans="1:6" ht="15.75" customHeight="1" x14ac:dyDescent="0.2">
      <c r="A52" s="11" t="s">
        <v>152</v>
      </c>
      <c r="B52" s="11"/>
      <c r="C52" s="11"/>
      <c r="D52" s="11"/>
      <c r="E52" s="11"/>
      <c r="F52" s="11"/>
    </row>
    <row r="53" spans="1:6" ht="84" customHeight="1" x14ac:dyDescent="0.2">
      <c r="A53" s="10" t="s">
        <v>153</v>
      </c>
      <c r="B53" s="10"/>
      <c r="C53" s="10"/>
      <c r="D53" s="10"/>
      <c r="E53" s="10"/>
      <c r="F53" s="10"/>
    </row>
  </sheetData>
  <mergeCells count="22">
    <mergeCell ref="A52:F52"/>
    <mergeCell ref="A53:F53"/>
    <mergeCell ref="A47:F47"/>
    <mergeCell ref="A48:F48"/>
    <mergeCell ref="A49:F49"/>
    <mergeCell ref="A50:F50"/>
    <mergeCell ref="A51:F51"/>
    <mergeCell ref="A41:F41"/>
    <mergeCell ref="A43:F43"/>
    <mergeCell ref="A44:F44"/>
    <mergeCell ref="A45:F45"/>
    <mergeCell ref="A46:F46"/>
    <mergeCell ref="A17:F17"/>
    <mergeCell ref="A20:F20"/>
    <mergeCell ref="A23:D23"/>
    <mergeCell ref="A25:F25"/>
    <mergeCell ref="A27:F27"/>
    <mergeCell ref="A1:F1"/>
    <mergeCell ref="A3:F3"/>
    <mergeCell ref="B4:D4"/>
    <mergeCell ref="A10:F10"/>
    <mergeCell ref="A14:F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3"/>
  <sheetViews>
    <sheetView showGridLines="0" zoomScaleNormal="100" workbookViewId="0"/>
  </sheetViews>
  <sheetFormatPr baseColWidth="10" defaultColWidth="8.6640625" defaultRowHeight="15" x14ac:dyDescent="0.2"/>
  <cols>
    <col min="1" max="1" width="34" customWidth="1"/>
    <col min="2" max="5" width="18" customWidth="1"/>
  </cols>
  <sheetData>
    <row r="1" spans="1:5" ht="21.75" customHeight="1" x14ac:dyDescent="0.2">
      <c r="A1" s="14" t="s">
        <v>154</v>
      </c>
      <c r="B1" s="14"/>
      <c r="C1" s="14"/>
      <c r="D1" s="14"/>
      <c r="E1" s="14"/>
    </row>
    <row r="2" spans="1:5" ht="15.75" customHeight="1" x14ac:dyDescent="0.2">
      <c r="A2" s="15"/>
      <c r="B2" s="15" t="s">
        <v>155</v>
      </c>
      <c r="C2" s="15" t="s">
        <v>156</v>
      </c>
      <c r="D2" s="15" t="s">
        <v>157</v>
      </c>
      <c r="E2" s="15"/>
    </row>
    <row r="3" spans="1:5" ht="15.75" customHeight="1" x14ac:dyDescent="0.2">
      <c r="A3" s="12" t="s">
        <v>111</v>
      </c>
      <c r="B3" s="12"/>
      <c r="C3" s="12"/>
      <c r="D3" s="12"/>
      <c r="E3" s="12"/>
    </row>
    <row r="4" spans="1:5" ht="15.75" customHeight="1" x14ac:dyDescent="0.2">
      <c r="A4" s="23" t="s">
        <v>158</v>
      </c>
      <c r="B4" s="45" t="s">
        <v>39</v>
      </c>
      <c r="C4" s="45" t="s">
        <v>159</v>
      </c>
    </row>
    <row r="5" spans="1:5" ht="15.75" customHeight="1" x14ac:dyDescent="0.2">
      <c r="A5" s="23" t="s">
        <v>160</v>
      </c>
      <c r="B5" s="45" t="s">
        <v>161</v>
      </c>
      <c r="C5" s="45" t="s">
        <v>162</v>
      </c>
    </row>
    <row r="6" spans="1:5" ht="15.75" customHeight="1" x14ac:dyDescent="0.2">
      <c r="A6" s="23" t="s">
        <v>112</v>
      </c>
      <c r="B6" s="26">
        <v>50</v>
      </c>
      <c r="C6" s="26">
        <v>29.409595671981801</v>
      </c>
    </row>
    <row r="7" spans="1:5" ht="15.75" customHeight="1" x14ac:dyDescent="0.2">
      <c r="A7" s="23" t="s">
        <v>163</v>
      </c>
      <c r="B7" s="19">
        <v>102.875</v>
      </c>
      <c r="C7" s="19">
        <v>99.355000000000004</v>
      </c>
    </row>
    <row r="8" spans="1:5" ht="15.75" customHeight="1" x14ac:dyDescent="0.2">
      <c r="A8" s="23" t="s">
        <v>164</v>
      </c>
      <c r="B8" s="29">
        <v>6</v>
      </c>
      <c r="C8" s="29">
        <v>4.125</v>
      </c>
    </row>
    <row r="9" spans="1:5" ht="15.75" customHeight="1" x14ac:dyDescent="0.2">
      <c r="A9" s="23" t="s">
        <v>165</v>
      </c>
      <c r="B9" s="29">
        <v>2.5099999999999998</v>
      </c>
      <c r="C9" s="29">
        <v>7.9109999999999996</v>
      </c>
    </row>
    <row r="10" spans="1:5" ht="15.75" customHeight="1" x14ac:dyDescent="0.2">
      <c r="A10" s="23" t="s">
        <v>166</v>
      </c>
      <c r="B10" s="46">
        <v>258</v>
      </c>
      <c r="C10" s="46">
        <v>439</v>
      </c>
    </row>
    <row r="11" spans="1:5" ht="15.75" customHeight="1" x14ac:dyDescent="0.2">
      <c r="A11" s="23" t="s">
        <v>167</v>
      </c>
      <c r="B11" s="46">
        <v>12911</v>
      </c>
      <c r="C11" s="46">
        <v>12911</v>
      </c>
    </row>
    <row r="12" spans="1:5" ht="15.75" customHeight="1" x14ac:dyDescent="0.2">
      <c r="A12" s="23" t="s">
        <v>168</v>
      </c>
      <c r="B12" s="19">
        <v>3.62</v>
      </c>
      <c r="C12" s="19">
        <v>3.66</v>
      </c>
    </row>
    <row r="13" spans="1:5" ht="15.75" customHeight="1" x14ac:dyDescent="0.2">
      <c r="A13" s="23" t="s">
        <v>169</v>
      </c>
      <c r="B13" s="47"/>
      <c r="C13" s="48">
        <v>0.59</v>
      </c>
    </row>
    <row r="14" spans="1:5" ht="15.75" customHeight="1" x14ac:dyDescent="0.2">
      <c r="A14" s="12" t="s">
        <v>170</v>
      </c>
      <c r="B14" s="12"/>
      <c r="C14" s="12"/>
      <c r="D14" s="12"/>
      <c r="E14" s="12"/>
    </row>
    <row r="15" spans="1:5" ht="15.75" customHeight="1" x14ac:dyDescent="0.2">
      <c r="A15" s="23" t="s">
        <v>171</v>
      </c>
      <c r="B15" s="49">
        <v>257187.5</v>
      </c>
      <c r="C15" s="38">
        <v>-100443.41924339801</v>
      </c>
    </row>
    <row r="16" spans="1:5" ht="15.75" customHeight="1" x14ac:dyDescent="0.2">
      <c r="A16" s="23" t="s">
        <v>172</v>
      </c>
      <c r="B16" s="38">
        <v>-156884.375</v>
      </c>
      <c r="C16" s="49">
        <v>89120.706528687399</v>
      </c>
    </row>
    <row r="17" spans="1:5" ht="15.75" customHeight="1" x14ac:dyDescent="0.2">
      <c r="A17" s="22" t="s">
        <v>173</v>
      </c>
      <c r="B17" s="44">
        <v>100303.125</v>
      </c>
      <c r="C17" s="50">
        <v>-11322.7127147103</v>
      </c>
      <c r="D17" s="44">
        <v>88980.412285289698</v>
      </c>
    </row>
    <row r="18" spans="1:5" ht="15.75" customHeight="1" x14ac:dyDescent="0.2">
      <c r="A18" s="12" t="s">
        <v>174</v>
      </c>
      <c r="B18" s="12"/>
      <c r="C18" s="12"/>
      <c r="D18" s="12"/>
      <c r="E18" s="12"/>
    </row>
    <row r="19" spans="1:5" ht="15.75" customHeight="1" x14ac:dyDescent="0.2">
      <c r="A19" s="22" t="s">
        <v>175</v>
      </c>
      <c r="D19" s="44">
        <v>266941.23685586901</v>
      </c>
    </row>
    <row r="20" spans="1:5" ht="15.75" customHeight="1" x14ac:dyDescent="0.2">
      <c r="A20" s="23" t="s">
        <v>176</v>
      </c>
      <c r="D20" s="51">
        <v>72.8</v>
      </c>
    </row>
    <row r="21" spans="1:5" ht="15.75" customHeight="1" x14ac:dyDescent="0.2">
      <c r="A21" s="23" t="s">
        <v>177</v>
      </c>
      <c r="D21" s="48">
        <v>0.59</v>
      </c>
    </row>
    <row r="23" spans="1:5" ht="36" customHeight="1" x14ac:dyDescent="0.2">
      <c r="A23" s="13" t="s">
        <v>178</v>
      </c>
      <c r="B23" s="13"/>
      <c r="C23" s="13"/>
      <c r="D23" s="13"/>
      <c r="E23" s="13"/>
    </row>
    <row r="25" spans="1:5" ht="15.75" customHeight="1" x14ac:dyDescent="0.2">
      <c r="A25" s="12" t="s">
        <v>179</v>
      </c>
      <c r="B25" s="12"/>
      <c r="C25" s="12"/>
      <c r="D25" s="12"/>
      <c r="E25" s="12"/>
    </row>
    <row r="26" spans="1:5" ht="15.75" customHeight="1" x14ac:dyDescent="0.2">
      <c r="A26" s="11" t="s">
        <v>16</v>
      </c>
      <c r="B26" s="11"/>
      <c r="C26" s="11"/>
      <c r="D26" s="11"/>
      <c r="E26" s="11"/>
    </row>
    <row r="27" spans="1:5" ht="96" customHeight="1" x14ac:dyDescent="0.2">
      <c r="A27" s="10" t="s">
        <v>180</v>
      </c>
      <c r="B27" s="10"/>
      <c r="C27" s="10"/>
      <c r="D27" s="10"/>
      <c r="E27" s="10"/>
    </row>
    <row r="28" spans="1:5" ht="15.75" customHeight="1" x14ac:dyDescent="0.2">
      <c r="A28" s="11" t="s">
        <v>181</v>
      </c>
      <c r="B28" s="11"/>
      <c r="C28" s="11"/>
      <c r="D28" s="11"/>
      <c r="E28" s="11"/>
    </row>
    <row r="29" spans="1:5" ht="108" customHeight="1" x14ac:dyDescent="0.2">
      <c r="A29" s="10" t="s">
        <v>182</v>
      </c>
      <c r="B29" s="10"/>
      <c r="C29" s="10"/>
      <c r="D29" s="10"/>
      <c r="E29" s="10"/>
    </row>
    <row r="30" spans="1:5" ht="15.75" customHeight="1" x14ac:dyDescent="0.2">
      <c r="A30" s="11" t="s">
        <v>20</v>
      </c>
      <c r="B30" s="11"/>
      <c r="C30" s="11"/>
      <c r="D30" s="11"/>
      <c r="E30" s="11"/>
    </row>
    <row r="31" spans="1:5" ht="96" customHeight="1" x14ac:dyDescent="0.2">
      <c r="A31" s="10" t="s">
        <v>183</v>
      </c>
      <c r="B31" s="10"/>
      <c r="C31" s="10"/>
      <c r="D31" s="10"/>
      <c r="E31" s="10"/>
    </row>
    <row r="32" spans="1:5" ht="15.75" customHeight="1" x14ac:dyDescent="0.2">
      <c r="A32" s="11" t="s">
        <v>22</v>
      </c>
      <c r="B32" s="11"/>
      <c r="C32" s="11"/>
      <c r="D32" s="11"/>
      <c r="E32" s="11"/>
    </row>
    <row r="33" spans="1:5" ht="120" customHeight="1" x14ac:dyDescent="0.2">
      <c r="A33" s="10" t="s">
        <v>184</v>
      </c>
      <c r="B33" s="10"/>
      <c r="C33" s="10"/>
      <c r="D33" s="10"/>
      <c r="E33" s="10"/>
    </row>
  </sheetData>
  <mergeCells count="14">
    <mergeCell ref="A30:E30"/>
    <mergeCell ref="A31:E31"/>
    <mergeCell ref="A32:E32"/>
    <mergeCell ref="A33:E33"/>
    <mergeCell ref="A25:E25"/>
    <mergeCell ref="A26:E26"/>
    <mergeCell ref="A27:E27"/>
    <mergeCell ref="A28:E28"/>
    <mergeCell ref="A29:E29"/>
    <mergeCell ref="A1:E1"/>
    <mergeCell ref="A3:E3"/>
    <mergeCell ref="A14:E14"/>
    <mergeCell ref="A18:E18"/>
    <mergeCell ref="A23:E2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showGridLines="0" zoomScaleNormal="100" workbookViewId="0"/>
  </sheetViews>
  <sheetFormatPr baseColWidth="10" defaultColWidth="8.6640625" defaultRowHeight="15" x14ac:dyDescent="0.2"/>
  <cols>
    <col min="1" max="1" width="34" customWidth="1"/>
    <col min="2" max="5" width="18" customWidth="1"/>
  </cols>
  <sheetData>
    <row r="1" spans="1:5" ht="21.75" customHeight="1" x14ac:dyDescent="0.2">
      <c r="A1" s="14" t="s">
        <v>185</v>
      </c>
      <c r="B1" s="14"/>
      <c r="C1" s="14"/>
      <c r="D1" s="14"/>
      <c r="E1" s="14"/>
    </row>
    <row r="2" spans="1:5" ht="15.75" customHeight="1" x14ac:dyDescent="0.2">
      <c r="A2" s="15"/>
      <c r="B2" s="15" t="s">
        <v>155</v>
      </c>
      <c r="C2" s="15" t="s">
        <v>186</v>
      </c>
      <c r="D2" s="15" t="s">
        <v>157</v>
      </c>
      <c r="E2" s="15"/>
    </row>
    <row r="3" spans="1:5" ht="15.75" customHeight="1" x14ac:dyDescent="0.2">
      <c r="A3" s="12" t="s">
        <v>111</v>
      </c>
      <c r="B3" s="12"/>
      <c r="C3" s="12"/>
      <c r="D3" s="12"/>
      <c r="E3" s="12"/>
    </row>
    <row r="4" spans="1:5" ht="15.75" customHeight="1" x14ac:dyDescent="0.2">
      <c r="A4" s="23" t="s">
        <v>158</v>
      </c>
      <c r="B4" s="45" t="s">
        <v>39</v>
      </c>
      <c r="C4" s="45" t="s">
        <v>187</v>
      </c>
    </row>
    <row r="5" spans="1:5" ht="15.75" customHeight="1" x14ac:dyDescent="0.2">
      <c r="A5" s="23" t="s">
        <v>160</v>
      </c>
      <c r="B5" s="45" t="s">
        <v>161</v>
      </c>
      <c r="C5" s="45" t="s">
        <v>162</v>
      </c>
    </row>
    <row r="6" spans="1:5" ht="15.75" customHeight="1" x14ac:dyDescent="0.2">
      <c r="A6" s="23" t="s">
        <v>112</v>
      </c>
      <c r="B6" s="26">
        <v>50</v>
      </c>
      <c r="C6" s="26">
        <v>37.416798552762401</v>
      </c>
    </row>
    <row r="7" spans="1:5" ht="15.75" customHeight="1" x14ac:dyDescent="0.2">
      <c r="A7" s="23" t="s">
        <v>163</v>
      </c>
      <c r="B7" s="19">
        <v>102.875</v>
      </c>
      <c r="C7" s="19">
        <v>100.015625</v>
      </c>
    </row>
    <row r="8" spans="1:5" ht="15.75" customHeight="1" x14ac:dyDescent="0.2">
      <c r="A8" s="23" t="s">
        <v>164</v>
      </c>
      <c r="B8" s="29">
        <v>6</v>
      </c>
      <c r="C8" s="29">
        <v>5.5</v>
      </c>
    </row>
    <row r="9" spans="1:5" ht="15.75" customHeight="1" x14ac:dyDescent="0.2">
      <c r="A9" s="23" t="s">
        <v>188</v>
      </c>
      <c r="B9" s="29">
        <v>2.5099999999999998</v>
      </c>
      <c r="C9" s="29">
        <v>3.45</v>
      </c>
    </row>
    <row r="10" spans="1:5" ht="15.75" customHeight="1" x14ac:dyDescent="0.2">
      <c r="A10" s="23" t="s">
        <v>166</v>
      </c>
      <c r="B10" s="46">
        <v>258</v>
      </c>
      <c r="C10" s="46">
        <v>345</v>
      </c>
    </row>
    <row r="11" spans="1:5" ht="15.75" customHeight="1" x14ac:dyDescent="0.2">
      <c r="A11" s="23" t="s">
        <v>167</v>
      </c>
      <c r="B11" s="46">
        <v>12911</v>
      </c>
      <c r="C11" s="46">
        <v>12911</v>
      </c>
    </row>
    <row r="12" spans="1:5" ht="15.75" customHeight="1" x14ac:dyDescent="0.2">
      <c r="A12" s="23" t="s">
        <v>189</v>
      </c>
      <c r="B12" s="19">
        <v>3.66</v>
      </c>
      <c r="C12" s="19">
        <v>3.66</v>
      </c>
    </row>
    <row r="13" spans="1:5" ht="15.75" customHeight="1" x14ac:dyDescent="0.2">
      <c r="A13" s="23" t="s">
        <v>190</v>
      </c>
      <c r="D13" s="48">
        <v>0.75</v>
      </c>
    </row>
    <row r="14" spans="1:5" ht="15.75" customHeight="1" x14ac:dyDescent="0.2">
      <c r="A14" s="12" t="s">
        <v>170</v>
      </c>
      <c r="B14" s="12"/>
      <c r="C14" s="12"/>
      <c r="D14" s="12"/>
      <c r="E14" s="12"/>
    </row>
    <row r="15" spans="1:5" ht="15.75" customHeight="1" x14ac:dyDescent="0.2">
      <c r="A15" s="23" t="s">
        <v>171</v>
      </c>
      <c r="B15" s="49">
        <v>257187.5</v>
      </c>
      <c r="C15" s="38">
        <v>-171520.455917874</v>
      </c>
    </row>
    <row r="16" spans="1:5" ht="15.75" customHeight="1" x14ac:dyDescent="0.2">
      <c r="A16" s="23" t="s">
        <v>191</v>
      </c>
      <c r="B16" s="38">
        <v>-156884.375</v>
      </c>
      <c r="C16" s="49">
        <v>114139.067028986</v>
      </c>
    </row>
    <row r="17" spans="1:5" ht="15.75" customHeight="1" x14ac:dyDescent="0.2">
      <c r="A17" s="22" t="s">
        <v>173</v>
      </c>
      <c r="B17" s="44">
        <v>100303.125</v>
      </c>
      <c r="C17" s="50">
        <v>-57381.388888888898</v>
      </c>
      <c r="D17" s="44">
        <v>42921.736111111102</v>
      </c>
    </row>
    <row r="18" spans="1:5" ht="15.75" customHeight="1" x14ac:dyDescent="0.2">
      <c r="A18" s="12" t="s">
        <v>174</v>
      </c>
      <c r="B18" s="12"/>
      <c r="C18" s="12"/>
      <c r="D18" s="12"/>
      <c r="E18" s="12"/>
    </row>
    <row r="19" spans="1:5" ht="15.75" customHeight="1" x14ac:dyDescent="0.2">
      <c r="A19" s="22" t="s">
        <v>175</v>
      </c>
      <c r="D19" s="44">
        <v>128765.20833333299</v>
      </c>
    </row>
    <row r="20" spans="1:5" ht="15.75" customHeight="1" x14ac:dyDescent="0.2">
      <c r="A20" s="23" t="s">
        <v>192</v>
      </c>
      <c r="D20" s="52">
        <v>0.5</v>
      </c>
    </row>
    <row r="21" spans="1:5" ht="15.75" customHeight="1" x14ac:dyDescent="0.2">
      <c r="A21" s="23" t="s">
        <v>193</v>
      </c>
      <c r="D21" s="51">
        <v>-22.4</v>
      </c>
    </row>
    <row r="22" spans="1:5" ht="15.75" customHeight="1" x14ac:dyDescent="0.2">
      <c r="A22" s="23" t="s">
        <v>177</v>
      </c>
      <c r="D22" s="48">
        <v>0.75</v>
      </c>
    </row>
    <row r="24" spans="1:5" ht="36" customHeight="1" x14ac:dyDescent="0.2">
      <c r="A24" s="13" t="s">
        <v>194</v>
      </c>
      <c r="B24" s="13"/>
      <c r="C24" s="13"/>
      <c r="D24" s="13"/>
      <c r="E24" s="13"/>
    </row>
    <row r="26" spans="1:5" ht="15.75" customHeight="1" x14ac:dyDescent="0.2">
      <c r="A26" s="12" t="s">
        <v>195</v>
      </c>
      <c r="B26" s="12"/>
      <c r="C26" s="12"/>
      <c r="D26" s="12"/>
      <c r="E26" s="12"/>
    </row>
    <row r="27" spans="1:5" ht="15.75" customHeight="1" x14ac:dyDescent="0.2">
      <c r="A27" s="11" t="s">
        <v>196</v>
      </c>
      <c r="B27" s="11"/>
      <c r="C27" s="11"/>
      <c r="D27" s="11"/>
      <c r="E27" s="11"/>
    </row>
    <row r="28" spans="1:5" ht="120" customHeight="1" x14ac:dyDescent="0.2">
      <c r="A28" s="10" t="s">
        <v>197</v>
      </c>
      <c r="B28" s="10"/>
      <c r="C28" s="10"/>
      <c r="D28" s="10"/>
      <c r="E28" s="10"/>
    </row>
    <row r="29" spans="1:5" ht="15.75" customHeight="1" x14ac:dyDescent="0.2">
      <c r="A29" s="11" t="s">
        <v>198</v>
      </c>
      <c r="B29" s="11"/>
      <c r="C29" s="11"/>
      <c r="D29" s="11"/>
      <c r="E29" s="11"/>
    </row>
    <row r="30" spans="1:5" ht="96" customHeight="1" x14ac:dyDescent="0.2">
      <c r="A30" s="10" t="s">
        <v>199</v>
      </c>
      <c r="B30" s="10"/>
      <c r="C30" s="10"/>
      <c r="D30" s="10"/>
      <c r="E30" s="10"/>
    </row>
    <row r="31" spans="1:5" ht="15.75" customHeight="1" x14ac:dyDescent="0.2">
      <c r="A31" s="11" t="s">
        <v>20</v>
      </c>
      <c r="B31" s="11"/>
      <c r="C31" s="11"/>
      <c r="D31" s="11"/>
      <c r="E31" s="11"/>
    </row>
    <row r="32" spans="1:5" ht="96" customHeight="1" x14ac:dyDescent="0.2">
      <c r="A32" s="10" t="s">
        <v>200</v>
      </c>
      <c r="B32" s="10"/>
      <c r="C32" s="10"/>
      <c r="D32" s="10"/>
      <c r="E32" s="10"/>
    </row>
    <row r="33" spans="1:5" ht="15.75" customHeight="1" x14ac:dyDescent="0.2">
      <c r="A33" s="11" t="s">
        <v>22</v>
      </c>
      <c r="B33" s="11"/>
      <c r="C33" s="11"/>
      <c r="D33" s="11"/>
      <c r="E33" s="11"/>
    </row>
    <row r="34" spans="1:5" ht="120" customHeight="1" x14ac:dyDescent="0.2">
      <c r="A34" s="10" t="s">
        <v>201</v>
      </c>
      <c r="B34" s="10"/>
      <c r="C34" s="10"/>
      <c r="D34" s="10"/>
      <c r="E34" s="10"/>
    </row>
  </sheetData>
  <mergeCells count="14">
    <mergeCell ref="A31:E31"/>
    <mergeCell ref="A32:E32"/>
    <mergeCell ref="A33:E33"/>
    <mergeCell ref="A34:E34"/>
    <mergeCell ref="A26:E26"/>
    <mergeCell ref="A27:E27"/>
    <mergeCell ref="A28:E28"/>
    <mergeCell ref="A29:E29"/>
    <mergeCell ref="A30:E30"/>
    <mergeCell ref="A1:E1"/>
    <mergeCell ref="A3:E3"/>
    <mergeCell ref="A14:E14"/>
    <mergeCell ref="A18:E18"/>
    <mergeCell ref="A24:E2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7"/>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34" customWidth="1"/>
    <col min="2" max="2" width="18" customWidth="1"/>
    <col min="3" max="3" width="40" customWidth="1"/>
  </cols>
  <sheetData>
    <row r="1" spans="1:3" ht="25.5" customHeight="1" x14ac:dyDescent="0.2">
      <c r="A1" s="7" t="s">
        <v>202</v>
      </c>
      <c r="B1" s="7"/>
      <c r="C1" s="7"/>
    </row>
    <row r="2" spans="1:3" ht="18" customHeight="1" x14ac:dyDescent="0.2">
      <c r="A2" s="6" t="s">
        <v>203</v>
      </c>
      <c r="B2" s="6"/>
      <c r="C2" s="6"/>
    </row>
    <row r="3" spans="1:3" ht="15" customHeight="1" x14ac:dyDescent="0.2">
      <c r="A3" s="23" t="s">
        <v>204</v>
      </c>
      <c r="B3" s="54" t="s">
        <v>39</v>
      </c>
      <c r="C3" s="55" t="s">
        <v>205</v>
      </c>
    </row>
    <row r="4" spans="1:3" ht="15" customHeight="1" x14ac:dyDescent="0.2">
      <c r="A4" s="23" t="s">
        <v>206</v>
      </c>
      <c r="B4" s="54" t="s">
        <v>39</v>
      </c>
      <c r="C4" s="55" t="s">
        <v>207</v>
      </c>
    </row>
    <row r="5" spans="1:3" ht="15" customHeight="1" x14ac:dyDescent="0.2">
      <c r="A5" s="23" t="s">
        <v>164</v>
      </c>
      <c r="B5" s="29">
        <v>6</v>
      </c>
      <c r="C5" s="55" t="s">
        <v>208</v>
      </c>
    </row>
    <row r="6" spans="1:3" ht="15" customHeight="1" x14ac:dyDescent="0.2">
      <c r="A6" s="23" t="s">
        <v>209</v>
      </c>
      <c r="B6" s="19">
        <v>102.875</v>
      </c>
      <c r="C6" s="55" t="s">
        <v>210</v>
      </c>
    </row>
    <row r="7" spans="1:3" ht="15" customHeight="1" x14ac:dyDescent="0.2">
      <c r="A7" s="23" t="s">
        <v>211</v>
      </c>
      <c r="B7" s="19">
        <v>29.5</v>
      </c>
      <c r="C7" s="55" t="s">
        <v>212</v>
      </c>
    </row>
    <row r="8" spans="1:3" ht="15" customHeight="1" x14ac:dyDescent="0.2">
      <c r="A8" s="56"/>
      <c r="B8" s="56"/>
      <c r="C8" s="56"/>
    </row>
    <row r="9" spans="1:3" ht="18" customHeight="1" x14ac:dyDescent="0.2">
      <c r="A9" s="6" t="s">
        <v>213</v>
      </c>
      <c r="B9" s="6"/>
      <c r="C9" s="6"/>
    </row>
    <row r="10" spans="1:3" ht="15" customHeight="1" x14ac:dyDescent="0.2">
      <c r="A10" s="23" t="s">
        <v>214</v>
      </c>
      <c r="B10" s="19">
        <v>3.9359999999999999</v>
      </c>
      <c r="C10" s="55" t="s">
        <v>215</v>
      </c>
    </row>
    <row r="11" spans="1:3" ht="15" customHeight="1" x14ac:dyDescent="0.2">
      <c r="A11" s="23" t="s">
        <v>216</v>
      </c>
      <c r="B11" s="19">
        <v>4.1319999999999997</v>
      </c>
      <c r="C11" s="55" t="s">
        <v>217</v>
      </c>
    </row>
    <row r="12" spans="1:3" ht="15" customHeight="1" x14ac:dyDescent="0.2">
      <c r="A12" s="23" t="s">
        <v>218</v>
      </c>
      <c r="B12" s="57" t="s">
        <v>219</v>
      </c>
      <c r="C12" s="55" t="s">
        <v>220</v>
      </c>
    </row>
    <row r="13" spans="1:3" ht="15" customHeight="1" x14ac:dyDescent="0.2">
      <c r="A13" s="56"/>
      <c r="B13" s="56"/>
      <c r="C13" s="56"/>
    </row>
    <row r="14" spans="1:3" ht="18" customHeight="1" x14ac:dyDescent="0.2">
      <c r="A14" s="6" t="s">
        <v>221</v>
      </c>
      <c r="B14" s="6"/>
      <c r="C14" s="6"/>
    </row>
    <row r="15" spans="1:3" ht="15" customHeight="1" x14ac:dyDescent="0.2">
      <c r="A15" s="23" t="s">
        <v>222</v>
      </c>
      <c r="B15" s="19">
        <v>3.7</v>
      </c>
      <c r="C15" s="55" t="s">
        <v>223</v>
      </c>
    </row>
    <row r="16" spans="1:3" ht="15" customHeight="1" x14ac:dyDescent="0.2">
      <c r="A16" s="23" t="s">
        <v>224</v>
      </c>
      <c r="B16" s="19">
        <v>3.7</v>
      </c>
      <c r="C16" s="55" t="s">
        <v>225</v>
      </c>
    </row>
    <row r="17" spans="1:3" ht="15" customHeight="1" x14ac:dyDescent="0.2">
      <c r="A17" s="23" t="s">
        <v>226</v>
      </c>
      <c r="B17" s="19">
        <v>3.95</v>
      </c>
      <c r="C17" s="55" t="s">
        <v>227</v>
      </c>
    </row>
    <row r="18" spans="1:3" ht="15" customHeight="1" x14ac:dyDescent="0.2">
      <c r="A18" s="56"/>
      <c r="B18" s="56"/>
      <c r="C18" s="56"/>
    </row>
    <row r="19" spans="1:3" ht="18" customHeight="1" x14ac:dyDescent="0.2">
      <c r="A19" s="6" t="s">
        <v>228</v>
      </c>
      <c r="B19" s="6"/>
      <c r="C19" s="6"/>
    </row>
    <row r="20" spans="1:3" ht="15" customHeight="1" x14ac:dyDescent="0.2">
      <c r="A20" s="23" t="s">
        <v>229</v>
      </c>
      <c r="B20" s="58">
        <v>5</v>
      </c>
      <c r="C20" s="55" t="s">
        <v>230</v>
      </c>
    </row>
    <row r="21" spans="1:3" ht="15" customHeight="1" x14ac:dyDescent="0.2">
      <c r="A21" s="23" t="s">
        <v>231</v>
      </c>
      <c r="B21" s="58">
        <v>25</v>
      </c>
      <c r="C21" s="55" t="s">
        <v>232</v>
      </c>
    </row>
    <row r="22" spans="1:3" ht="15" customHeight="1" x14ac:dyDescent="0.2">
      <c r="A22" s="23" t="s">
        <v>233</v>
      </c>
      <c r="B22" s="58">
        <v>5</v>
      </c>
      <c r="C22" s="55" t="s">
        <v>234</v>
      </c>
    </row>
    <row r="23" spans="1:3" ht="15" customHeight="1" x14ac:dyDescent="0.2">
      <c r="A23" s="23" t="s">
        <v>235</v>
      </c>
      <c r="B23" s="29">
        <v>17.3</v>
      </c>
      <c r="C23" s="55" t="s">
        <v>236</v>
      </c>
    </row>
    <row r="24" spans="1:3" ht="15" customHeight="1" x14ac:dyDescent="0.2">
      <c r="A24" s="59" t="s">
        <v>73</v>
      </c>
      <c r="B24" s="29">
        <v>19.399999999999999</v>
      </c>
      <c r="C24" s="60" t="s">
        <v>237</v>
      </c>
    </row>
    <row r="25" spans="1:3" ht="18" customHeight="1" x14ac:dyDescent="0.2">
      <c r="A25" s="5"/>
      <c r="B25" s="5"/>
      <c r="C25" s="5"/>
    </row>
    <row r="26" spans="1:3" ht="15" customHeight="1" x14ac:dyDescent="0.2">
      <c r="A26" s="53" t="s">
        <v>238</v>
      </c>
    </row>
    <row r="27" spans="1:3" ht="15" customHeight="1" x14ac:dyDescent="0.2">
      <c r="A27" s="23" t="s">
        <v>77</v>
      </c>
      <c r="B27" s="29">
        <v>6.9740000000000002</v>
      </c>
      <c r="C27" s="55" t="s">
        <v>208</v>
      </c>
    </row>
    <row r="28" spans="1:3" ht="15" customHeight="1" x14ac:dyDescent="0.2">
      <c r="A28" s="23" t="s">
        <v>89</v>
      </c>
      <c r="B28" s="61">
        <v>325</v>
      </c>
      <c r="C28" s="55" t="s">
        <v>239</v>
      </c>
    </row>
    <row r="29" spans="1:3" ht="15" customHeight="1" x14ac:dyDescent="0.2">
      <c r="A29" s="23" t="s">
        <v>85</v>
      </c>
      <c r="B29" s="61">
        <v>30</v>
      </c>
      <c r="C29" s="55" t="s">
        <v>239</v>
      </c>
    </row>
    <row r="30" spans="1:3" ht="15" customHeight="1" x14ac:dyDescent="0.2">
      <c r="A30" s="23" t="s">
        <v>53</v>
      </c>
      <c r="B30" s="61">
        <v>676</v>
      </c>
      <c r="C30" s="55" t="s">
        <v>240</v>
      </c>
    </row>
    <row r="31" spans="1:3" ht="15" customHeight="1" x14ac:dyDescent="0.2">
      <c r="A31" s="23" t="s">
        <v>57</v>
      </c>
      <c r="B31" s="61">
        <v>80</v>
      </c>
      <c r="C31" s="55" t="s">
        <v>239</v>
      </c>
    </row>
    <row r="32" spans="1:3" ht="15" customHeight="1" x14ac:dyDescent="0.2">
      <c r="A32" s="23" t="s">
        <v>65</v>
      </c>
      <c r="B32" s="61">
        <v>2841</v>
      </c>
      <c r="C32" s="55" t="s">
        <v>239</v>
      </c>
    </row>
    <row r="33" spans="1:3" ht="15" customHeight="1" x14ac:dyDescent="0.2">
      <c r="A33" s="23" t="s">
        <v>81</v>
      </c>
      <c r="B33" s="29">
        <v>110.28</v>
      </c>
      <c r="C33" s="55" t="s">
        <v>241</v>
      </c>
    </row>
    <row r="34" spans="1:3" ht="15" customHeight="1" x14ac:dyDescent="0.2">
      <c r="A34" s="23" t="s">
        <v>49</v>
      </c>
      <c r="B34" s="54" t="s">
        <v>242</v>
      </c>
      <c r="C34" s="55" t="s">
        <v>239</v>
      </c>
    </row>
    <row r="35" spans="1:3" ht="15" customHeight="1" x14ac:dyDescent="0.2">
      <c r="A35" s="56"/>
      <c r="B35" s="56"/>
      <c r="C35" s="56"/>
    </row>
    <row r="36" spans="1:3" ht="15" customHeight="1" x14ac:dyDescent="0.2">
      <c r="A36" s="62" t="s">
        <v>243</v>
      </c>
      <c r="B36" s="62" t="s">
        <v>244</v>
      </c>
      <c r="C36" s="60" t="s">
        <v>245</v>
      </c>
    </row>
    <row r="37" spans="1:3" ht="15" customHeight="1" x14ac:dyDescent="0.2">
      <c r="A37" s="59" t="s">
        <v>246</v>
      </c>
      <c r="B37" s="29">
        <v>5.0090000000000003</v>
      </c>
      <c r="C37" s="56"/>
    </row>
    <row r="38" spans="1:3" ht="15" customHeight="1" x14ac:dyDescent="0.2">
      <c r="A38" s="59" t="s">
        <v>4</v>
      </c>
      <c r="B38" s="29">
        <v>4.5919999999999996</v>
      </c>
      <c r="C38" s="56"/>
    </row>
    <row r="39" spans="1:3" ht="15" customHeight="1" x14ac:dyDescent="0.2">
      <c r="A39" s="59" t="s">
        <v>3</v>
      </c>
      <c r="B39" s="29">
        <v>4.1500000000000004</v>
      </c>
      <c r="C39" s="56"/>
    </row>
    <row r="40" spans="1:3" ht="15" customHeight="1" x14ac:dyDescent="0.2">
      <c r="A40" s="59" t="s">
        <v>2</v>
      </c>
      <c r="B40" s="29">
        <v>3.9649999999999999</v>
      </c>
      <c r="C40" s="56"/>
    </row>
    <row r="41" spans="1:3" ht="15" customHeight="1" x14ac:dyDescent="0.2">
      <c r="A41" s="59" t="s">
        <v>247</v>
      </c>
      <c r="B41" s="29">
        <v>3.6789999999999998</v>
      </c>
      <c r="C41" s="56"/>
    </row>
    <row r="42" spans="1:3" ht="15" customHeight="1" x14ac:dyDescent="0.2">
      <c r="A42" s="59" t="s">
        <v>248</v>
      </c>
      <c r="B42" s="29">
        <v>3.1749999999999998</v>
      </c>
      <c r="C42" s="56"/>
    </row>
    <row r="43" spans="1:3" ht="15" customHeight="1" x14ac:dyDescent="0.2">
      <c r="A43" s="62" t="s">
        <v>249</v>
      </c>
      <c r="B43" s="62" t="s">
        <v>244</v>
      </c>
      <c r="C43" s="60" t="s">
        <v>250</v>
      </c>
    </row>
    <row r="44" spans="1:3" ht="15" customHeight="1" x14ac:dyDescent="0.2">
      <c r="A44" s="59" t="s">
        <v>246</v>
      </c>
      <c r="B44" s="29">
        <v>5.2039999999999997</v>
      </c>
      <c r="C44" s="56"/>
    </row>
    <row r="45" spans="1:3" ht="15" customHeight="1" x14ac:dyDescent="0.2">
      <c r="A45" s="59" t="s">
        <v>4</v>
      </c>
      <c r="B45" s="29">
        <v>4.7880000000000003</v>
      </c>
      <c r="C45" s="56"/>
    </row>
    <row r="46" spans="1:3" ht="15" customHeight="1" x14ac:dyDescent="0.2">
      <c r="A46" s="59" t="s">
        <v>3</v>
      </c>
      <c r="B46" s="29">
        <v>4.2460000000000004</v>
      </c>
      <c r="C46" s="56"/>
    </row>
    <row r="47" spans="1:3" ht="15" customHeight="1" x14ac:dyDescent="0.2">
      <c r="A47" s="59" t="s">
        <v>2</v>
      </c>
      <c r="B47" s="29">
        <v>4.1609999999999996</v>
      </c>
      <c r="C47" s="56"/>
    </row>
    <row r="48" spans="1:3" ht="15" customHeight="1" x14ac:dyDescent="0.2">
      <c r="A48" s="59" t="s">
        <v>247</v>
      </c>
      <c r="B48" s="29">
        <v>3.8740000000000001</v>
      </c>
      <c r="C48" s="56"/>
    </row>
    <row r="49" spans="1:3" ht="15" customHeight="1" x14ac:dyDescent="0.2">
      <c r="A49" s="59" t="s">
        <v>248</v>
      </c>
      <c r="B49" s="29">
        <v>3.37</v>
      </c>
      <c r="C49" s="56"/>
    </row>
    <row r="50" spans="1:3" ht="15" customHeight="1" x14ac:dyDescent="0.2">
      <c r="A50" s="62" t="s">
        <v>251</v>
      </c>
      <c r="B50" s="62" t="s">
        <v>244</v>
      </c>
      <c r="C50" s="60" t="s">
        <v>252</v>
      </c>
    </row>
    <row r="51" spans="1:3" ht="15" customHeight="1" x14ac:dyDescent="0.2">
      <c r="A51" s="59" t="s">
        <v>246</v>
      </c>
      <c r="B51" s="19">
        <v>4.4829999999999997</v>
      </c>
      <c r="C51" s="56"/>
    </row>
    <row r="52" spans="1:3" ht="15" customHeight="1" x14ac:dyDescent="0.2">
      <c r="A52" s="59" t="s">
        <v>4</v>
      </c>
      <c r="B52" s="19">
        <v>4.0640000000000001</v>
      </c>
      <c r="C52" s="56"/>
    </row>
    <row r="53" spans="1:3" ht="15" customHeight="1" x14ac:dyDescent="0.2">
      <c r="A53" s="59" t="s">
        <v>3</v>
      </c>
      <c r="B53" s="19">
        <v>3.6190000000000002</v>
      </c>
      <c r="C53" s="56"/>
    </row>
    <row r="54" spans="1:3" ht="15" customHeight="1" x14ac:dyDescent="0.2">
      <c r="A54" s="59" t="s">
        <v>2</v>
      </c>
      <c r="B54" s="19">
        <v>3.4329999999999998</v>
      </c>
      <c r="C54" s="56"/>
    </row>
    <row r="55" spans="1:3" ht="15" customHeight="1" x14ac:dyDescent="0.2">
      <c r="A55" s="59" t="s">
        <v>247</v>
      </c>
      <c r="B55" s="19">
        <v>3.145</v>
      </c>
      <c r="C55" s="56"/>
    </row>
    <row r="56" spans="1:3" ht="15" customHeight="1" x14ac:dyDescent="0.2">
      <c r="A56" s="59" t="s">
        <v>248</v>
      </c>
      <c r="B56" s="19">
        <v>2.637</v>
      </c>
      <c r="C56" s="56"/>
    </row>
    <row r="57" spans="1:3" ht="15" customHeight="1" x14ac:dyDescent="0.2">
      <c r="A57" s="62" t="s">
        <v>253</v>
      </c>
      <c r="B57" s="62" t="s">
        <v>244</v>
      </c>
      <c r="C57" s="56"/>
    </row>
    <row r="58" spans="1:3" ht="15" customHeight="1" x14ac:dyDescent="0.2">
      <c r="A58" s="59" t="s">
        <v>254</v>
      </c>
      <c r="B58" s="29">
        <v>8</v>
      </c>
      <c r="C58" s="56"/>
    </row>
    <row r="59" spans="1:3" ht="15" customHeight="1" x14ac:dyDescent="0.2">
      <c r="A59" s="59" t="s">
        <v>255</v>
      </c>
      <c r="B59" s="29">
        <v>5.75</v>
      </c>
      <c r="C59" s="56"/>
    </row>
    <row r="60" spans="1:3" ht="15" customHeight="1" x14ac:dyDescent="0.2">
      <c r="A60" s="56"/>
      <c r="B60" s="56"/>
      <c r="C60" s="56"/>
    </row>
    <row r="61" spans="1:3" ht="15" customHeight="1" x14ac:dyDescent="0.2">
      <c r="A61" s="62" t="s">
        <v>256</v>
      </c>
      <c r="B61" s="62" t="s">
        <v>244</v>
      </c>
      <c r="C61" s="60" t="s">
        <v>257</v>
      </c>
    </row>
    <row r="62" spans="1:3" ht="15" customHeight="1" x14ac:dyDescent="0.2">
      <c r="A62" s="59" t="s">
        <v>246</v>
      </c>
      <c r="B62" s="19">
        <v>4.7320000000000002</v>
      </c>
      <c r="C62" s="56"/>
    </row>
    <row r="63" spans="1:3" ht="15" customHeight="1" x14ac:dyDescent="0.2">
      <c r="A63" s="59" t="s">
        <v>4</v>
      </c>
      <c r="B63" s="19">
        <v>4.4470000000000001</v>
      </c>
      <c r="C63" s="56"/>
    </row>
    <row r="64" spans="1:3" ht="15" customHeight="1" x14ac:dyDescent="0.2">
      <c r="A64" s="59" t="s">
        <v>3</v>
      </c>
      <c r="B64" s="19">
        <v>4.1449999999999996</v>
      </c>
      <c r="C64" s="56"/>
    </row>
    <row r="65" spans="1:3" ht="15" customHeight="1" x14ac:dyDescent="0.2">
      <c r="A65" s="59" t="s">
        <v>2</v>
      </c>
      <c r="B65" s="19">
        <v>4.0179999999999998</v>
      </c>
      <c r="C65" s="56"/>
    </row>
    <row r="66" spans="1:3" ht="15" customHeight="1" x14ac:dyDescent="0.2">
      <c r="A66" s="59" t="s">
        <v>247</v>
      </c>
      <c r="B66" s="19">
        <v>3.823</v>
      </c>
      <c r="C66" s="56"/>
    </row>
    <row r="67" spans="1:3" ht="15" customHeight="1" x14ac:dyDescent="0.2">
      <c r="A67" s="59" t="s">
        <v>248</v>
      </c>
      <c r="B67" s="19">
        <v>3.4780000000000002</v>
      </c>
      <c r="C67" s="56"/>
    </row>
  </sheetData>
  <mergeCells count="6">
    <mergeCell ref="A25:C25"/>
    <mergeCell ref="A1:C1"/>
    <mergeCell ref="A2:C2"/>
    <mergeCell ref="A9:C9"/>
    <mergeCell ref="A14:C14"/>
    <mergeCell ref="A19:C1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22" customWidth="1"/>
    <col min="2" max="4" width="20" customWidth="1"/>
  </cols>
  <sheetData>
    <row r="1" spans="1:4" ht="25.5" customHeight="1" x14ac:dyDescent="0.2">
      <c r="A1" s="4" t="s">
        <v>258</v>
      </c>
      <c r="B1" s="4"/>
      <c r="C1" s="4"/>
      <c r="D1" s="4"/>
    </row>
    <row r="2" spans="1:4" ht="42" customHeight="1" x14ac:dyDescent="0.2">
      <c r="A2" s="3" t="s">
        <v>259</v>
      </c>
      <c r="B2" s="3"/>
      <c r="C2" s="3"/>
      <c r="D2" s="3"/>
    </row>
    <row r="3" spans="1:4" ht="42" customHeight="1" x14ac:dyDescent="0.2">
      <c r="A3" s="3" t="s">
        <v>260</v>
      </c>
      <c r="B3" s="3"/>
      <c r="C3" s="3"/>
      <c r="D3" s="3"/>
    </row>
    <row r="4" spans="1:4" ht="15" customHeight="1" x14ac:dyDescent="0.2">
      <c r="A4" s="63" t="s">
        <v>261</v>
      </c>
      <c r="B4" s="64" t="s">
        <v>6</v>
      </c>
      <c r="C4" s="64" t="s">
        <v>7</v>
      </c>
      <c r="D4" s="64" t="s">
        <v>8</v>
      </c>
    </row>
    <row r="5" spans="1:4" ht="15" customHeight="1" x14ac:dyDescent="0.2">
      <c r="A5" s="65" t="s">
        <v>246</v>
      </c>
      <c r="B5" s="52">
        <f>-Assumptions!$B$58</f>
        <v>-8</v>
      </c>
      <c r="C5" s="52">
        <f>-Assumptions!$B$59</f>
        <v>-5.75</v>
      </c>
      <c r="D5" s="52">
        <f>-Assumptions!$B$62</f>
        <v>-4.7320000000000002</v>
      </c>
    </row>
    <row r="6" spans="1:4" ht="15" customHeight="1" x14ac:dyDescent="0.2">
      <c r="A6" s="65" t="s">
        <v>4</v>
      </c>
      <c r="B6" s="52">
        <f>-Assumptions!$B$58</f>
        <v>-8</v>
      </c>
      <c r="C6" s="52">
        <f>-Assumptions!$B$59</f>
        <v>-5.75</v>
      </c>
      <c r="D6" s="52">
        <f>-Assumptions!$B$63</f>
        <v>-4.4470000000000001</v>
      </c>
    </row>
    <row r="7" spans="1:4" ht="15" customHeight="1" x14ac:dyDescent="0.2">
      <c r="A7" s="65" t="s">
        <v>3</v>
      </c>
      <c r="B7" s="52">
        <f>-Assumptions!$B$58</f>
        <v>-8</v>
      </c>
      <c r="C7" s="52">
        <f>-Assumptions!$B$59</f>
        <v>-5.75</v>
      </c>
      <c r="D7" s="52">
        <f>-Assumptions!$B$64</f>
        <v>-4.1449999999999996</v>
      </c>
    </row>
    <row r="8" spans="1:4" ht="15" customHeight="1" x14ac:dyDescent="0.2">
      <c r="A8" s="65" t="s">
        <v>2</v>
      </c>
      <c r="B8" s="66">
        <f>-Assumptions!$B$58</f>
        <v>-8</v>
      </c>
      <c r="C8" s="66">
        <f>-Assumptions!$B$59</f>
        <v>-5.75</v>
      </c>
      <c r="D8" s="52">
        <f>-Assumptions!$B$65</f>
        <v>-4.0179999999999998</v>
      </c>
    </row>
    <row r="9" spans="1:4" ht="15" customHeight="1" x14ac:dyDescent="0.2">
      <c r="A9" s="65" t="s">
        <v>247</v>
      </c>
      <c r="B9" s="52">
        <f>-Assumptions!$B$58</f>
        <v>-8</v>
      </c>
      <c r="C9" s="52">
        <f>-Assumptions!$B$59</f>
        <v>-5.75</v>
      </c>
      <c r="D9" s="52">
        <f>-Assumptions!$B$66</f>
        <v>-3.823</v>
      </c>
    </row>
    <row r="10" spans="1:4" ht="15" customHeight="1" x14ac:dyDescent="0.2">
      <c r="A10" s="65" t="s">
        <v>248</v>
      </c>
      <c r="B10" s="52">
        <f>-Assumptions!$B$58</f>
        <v>-8</v>
      </c>
      <c r="C10" s="52">
        <f>-Assumptions!$B$59</f>
        <v>-5.75</v>
      </c>
      <c r="D10" s="52">
        <f>-Assumptions!$B$67</f>
        <v>-3.4780000000000002</v>
      </c>
    </row>
    <row r="11" spans="1:4" ht="15" customHeight="1" x14ac:dyDescent="0.2">
      <c r="A11" s="2" t="s">
        <v>262</v>
      </c>
      <c r="B11" s="2"/>
      <c r="C11" s="2"/>
      <c r="D11" s="2"/>
    </row>
  </sheetData>
  <mergeCells count="4">
    <mergeCell ref="A1:D1"/>
    <mergeCell ref="A2:D2"/>
    <mergeCell ref="A3:D3"/>
    <mergeCell ref="A11:D1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1"/>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22" customWidth="1"/>
    <col min="2" max="4" width="20" customWidth="1"/>
  </cols>
  <sheetData>
    <row r="1" spans="1:4" ht="25.5" customHeight="1" x14ac:dyDescent="0.2">
      <c r="A1" s="4" t="s">
        <v>263</v>
      </c>
      <c r="B1" s="4"/>
      <c r="C1" s="4"/>
      <c r="D1" s="4"/>
    </row>
    <row r="2" spans="1:4" ht="60" customHeight="1" x14ac:dyDescent="0.2">
      <c r="A2" s="3" t="s">
        <v>264</v>
      </c>
      <c r="B2" s="3"/>
      <c r="C2" s="3"/>
      <c r="D2" s="3"/>
    </row>
    <row r="3" spans="1:4" ht="49.5" customHeight="1" x14ac:dyDescent="0.2">
      <c r="A3" s="3" t="s">
        <v>265</v>
      </c>
      <c r="B3" s="3"/>
      <c r="C3" s="3"/>
      <c r="D3" s="3"/>
    </row>
    <row r="4" spans="1:4" ht="15" customHeight="1" x14ac:dyDescent="0.2">
      <c r="A4" s="63" t="s">
        <v>261</v>
      </c>
      <c r="B4" s="64" t="s">
        <v>6</v>
      </c>
      <c r="C4" s="64" t="s">
        <v>7</v>
      </c>
      <c r="D4" s="64" t="s">
        <v>8</v>
      </c>
    </row>
    <row r="5" spans="1:4" ht="15" customHeight="1" x14ac:dyDescent="0.2">
      <c r="A5" s="65" t="s">
        <v>246</v>
      </c>
      <c r="B5" s="52">
        <f>Assumptions!$B$10</f>
        <v>3.9359999999999999</v>
      </c>
      <c r="C5" s="52">
        <f>Assumptions!$B$11</f>
        <v>4.1319999999999997</v>
      </c>
      <c r="D5" s="52">
        <f>Assumptions!$B$51</f>
        <v>4.4829999999999997</v>
      </c>
    </row>
    <row r="6" spans="1:4" ht="15" customHeight="1" x14ac:dyDescent="0.2">
      <c r="A6" s="65" t="s">
        <v>4</v>
      </c>
      <c r="B6" s="52">
        <f>Assumptions!$B$10</f>
        <v>3.9359999999999999</v>
      </c>
      <c r="C6" s="52">
        <f>Assumptions!$B$11</f>
        <v>4.1319999999999997</v>
      </c>
      <c r="D6" s="52">
        <f>Assumptions!$B$52</f>
        <v>4.0640000000000001</v>
      </c>
    </row>
    <row r="7" spans="1:4" ht="15" customHeight="1" x14ac:dyDescent="0.2">
      <c r="A7" s="65" t="s">
        <v>3</v>
      </c>
      <c r="B7" s="52">
        <f>Assumptions!$B$10</f>
        <v>3.9359999999999999</v>
      </c>
      <c r="C7" s="52">
        <f>Assumptions!$B$11</f>
        <v>4.1319999999999997</v>
      </c>
      <c r="D7" s="52">
        <f>Assumptions!$B$53</f>
        <v>3.6190000000000002</v>
      </c>
    </row>
    <row r="8" spans="1:4" ht="15" customHeight="1" x14ac:dyDescent="0.2">
      <c r="A8" s="65" t="s">
        <v>2</v>
      </c>
      <c r="B8" s="66">
        <f>Assumptions!$B$10</f>
        <v>3.9359999999999999</v>
      </c>
      <c r="C8" s="66">
        <f>Assumptions!$B$11</f>
        <v>4.1319999999999997</v>
      </c>
      <c r="D8" s="52">
        <f>Assumptions!$B$54</f>
        <v>3.4329999999999998</v>
      </c>
    </row>
    <row r="9" spans="1:4" ht="15" customHeight="1" x14ac:dyDescent="0.2">
      <c r="A9" s="65" t="s">
        <v>247</v>
      </c>
      <c r="B9" s="52">
        <f>Assumptions!$B$10</f>
        <v>3.9359999999999999</v>
      </c>
      <c r="C9" s="52">
        <f>Assumptions!$B$11</f>
        <v>4.1319999999999997</v>
      </c>
      <c r="D9" s="52">
        <f>Assumptions!$B$55</f>
        <v>3.145</v>
      </c>
    </row>
    <row r="10" spans="1:4" ht="15" customHeight="1" x14ac:dyDescent="0.2">
      <c r="A10" s="65" t="s">
        <v>248</v>
      </c>
      <c r="B10" s="52">
        <f>Assumptions!$B$10</f>
        <v>3.9359999999999999</v>
      </c>
      <c r="C10" s="52">
        <f>Assumptions!$B$11</f>
        <v>4.1319999999999997</v>
      </c>
      <c r="D10" s="52">
        <f>Assumptions!$B$56</f>
        <v>2.637</v>
      </c>
    </row>
    <row r="11" spans="1:4" ht="15" customHeight="1" x14ac:dyDescent="0.2">
      <c r="A11" s="2" t="s">
        <v>262</v>
      </c>
      <c r="B11" s="2"/>
      <c r="C11" s="2"/>
      <c r="D11" s="2"/>
    </row>
  </sheetData>
  <mergeCells count="4">
    <mergeCell ref="A1:D1"/>
    <mergeCell ref="A2:D2"/>
    <mergeCell ref="A3:D3"/>
    <mergeCell ref="A11:D1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showGridLines="0" zoomScaleNormal="100" workbookViewId="0">
      <pane xSplit="1" ySplit="9" topLeftCell="B10" activePane="bottomRight" state="frozen"/>
      <selection pane="topRight" activeCell="B1" sqref="B1"/>
      <selection pane="bottomLeft" activeCell="A10" sqref="A10"/>
      <selection pane="bottomRight" sqref="A1:E1"/>
    </sheetView>
  </sheetViews>
  <sheetFormatPr baseColWidth="10" defaultColWidth="8.6640625" defaultRowHeight="15" x14ac:dyDescent="0.2"/>
  <cols>
    <col min="1" max="1" width="26" customWidth="1"/>
    <col min="2" max="5" width="18" customWidth="1"/>
  </cols>
  <sheetData>
    <row r="1" spans="1:5" ht="25.5" customHeight="1" x14ac:dyDescent="0.2">
      <c r="A1" s="4" t="s">
        <v>266</v>
      </c>
      <c r="B1" s="4"/>
      <c r="C1" s="4"/>
      <c r="D1" s="4"/>
      <c r="E1" s="4"/>
    </row>
    <row r="2" spans="1:5" ht="39.75" customHeight="1" x14ac:dyDescent="0.2">
      <c r="A2" s="3" t="s">
        <v>267</v>
      </c>
      <c r="B2" s="3"/>
      <c r="C2" s="3"/>
      <c r="D2" s="3"/>
      <c r="E2" s="3"/>
    </row>
    <row r="3" spans="1:5" ht="15" customHeight="1" x14ac:dyDescent="0.2">
      <c r="A3" s="64" t="s">
        <v>268</v>
      </c>
      <c r="B3" s="64" t="s">
        <v>6</v>
      </c>
      <c r="C3" s="64" t="s">
        <v>7</v>
      </c>
      <c r="D3" s="64" t="s">
        <v>8</v>
      </c>
      <c r="E3" s="64" t="s">
        <v>269</v>
      </c>
    </row>
    <row r="4" spans="1:5" ht="18" customHeight="1" x14ac:dyDescent="0.2">
      <c r="A4" s="1" t="s">
        <v>270</v>
      </c>
      <c r="B4" s="1"/>
      <c r="C4" s="1"/>
      <c r="D4" s="1"/>
      <c r="E4" s="1"/>
    </row>
    <row r="5" spans="1:5" ht="15" customHeight="1" x14ac:dyDescent="0.2">
      <c r="A5" s="23" t="s">
        <v>271</v>
      </c>
      <c r="B5" s="30">
        <v>3.9359999999999999</v>
      </c>
      <c r="C5" s="30">
        <v>4.2460000000000004</v>
      </c>
      <c r="D5" s="30">
        <v>4.0640000000000001</v>
      </c>
      <c r="E5" s="30">
        <v>12.246</v>
      </c>
    </row>
    <row r="6" spans="1:5" ht="15" customHeight="1" x14ac:dyDescent="0.2">
      <c r="A6" s="23" t="s">
        <v>272</v>
      </c>
      <c r="B6" s="67">
        <v>-8</v>
      </c>
      <c r="C6" s="67">
        <v>-5.75</v>
      </c>
      <c r="D6" s="67">
        <v>-4.4470000000000001</v>
      </c>
      <c r="E6" s="67">
        <v>-18.196999999999999</v>
      </c>
    </row>
    <row r="7" spans="1:5" ht="15" customHeight="1" x14ac:dyDescent="0.2">
      <c r="A7" s="22" t="s">
        <v>273</v>
      </c>
      <c r="B7" s="68">
        <v>-4.0640000000000001</v>
      </c>
      <c r="C7" s="68">
        <v>-1.504</v>
      </c>
      <c r="D7" s="68">
        <v>-0.38300000000000001</v>
      </c>
      <c r="E7" s="68">
        <v>-5.9509999999999996</v>
      </c>
    </row>
    <row r="8" spans="1:5" ht="7.5" customHeight="1" x14ac:dyDescent="0.2">
      <c r="A8" s="69"/>
      <c r="B8" s="69"/>
      <c r="C8" s="69"/>
      <c r="D8" s="69"/>
      <c r="E8" s="69"/>
    </row>
    <row r="9" spans="1:5" ht="21.75" customHeight="1" x14ac:dyDescent="0.2">
      <c r="A9" s="72" t="s">
        <v>274</v>
      </c>
      <c r="B9" s="72"/>
      <c r="C9" s="72"/>
      <c r="D9" s="72"/>
      <c r="E9" s="72"/>
    </row>
    <row r="10" spans="1:5" ht="15" customHeight="1" x14ac:dyDescent="0.2">
      <c r="A10" s="64" t="s">
        <v>261</v>
      </c>
      <c r="B10" s="64" t="s">
        <v>6</v>
      </c>
      <c r="C10" s="64" t="s">
        <v>7</v>
      </c>
      <c r="D10" s="64" t="s">
        <v>8</v>
      </c>
      <c r="E10" s="64" t="s">
        <v>269</v>
      </c>
    </row>
    <row r="11" spans="1:5" ht="15" customHeight="1" x14ac:dyDescent="0.2">
      <c r="A11" s="70" t="s">
        <v>246</v>
      </c>
      <c r="B11" s="52">
        <v>-4.0640000000000001</v>
      </c>
      <c r="C11" s="52">
        <v>-1.504</v>
      </c>
      <c r="D11" s="52">
        <v>-0.249000000000001</v>
      </c>
      <c r="E11" s="52">
        <v>-5.8170000000000002</v>
      </c>
    </row>
    <row r="12" spans="1:5" ht="15" customHeight="1" x14ac:dyDescent="0.2">
      <c r="A12" s="70" t="s">
        <v>4</v>
      </c>
      <c r="B12" s="52">
        <v>-4.0640000000000001</v>
      </c>
      <c r="C12" s="52">
        <v>-1.504</v>
      </c>
      <c r="D12" s="52">
        <v>-0.38300000000000001</v>
      </c>
      <c r="E12" s="52">
        <v>-5.9509999999999996</v>
      </c>
    </row>
    <row r="13" spans="1:5" ht="15" customHeight="1" x14ac:dyDescent="0.2">
      <c r="A13" s="70" t="s">
        <v>3</v>
      </c>
      <c r="B13" s="52">
        <v>-4.0640000000000001</v>
      </c>
      <c r="C13" s="52">
        <v>-1.504</v>
      </c>
      <c r="D13" s="52">
        <v>-0.52599999999999902</v>
      </c>
      <c r="E13" s="52">
        <v>-6.0940000000000003</v>
      </c>
    </row>
    <row r="14" spans="1:5" ht="15" customHeight="1" x14ac:dyDescent="0.2">
      <c r="A14" s="71" t="s">
        <v>2</v>
      </c>
      <c r="B14" s="66">
        <v>-4.0640000000000001</v>
      </c>
      <c r="C14" s="66">
        <v>-1.504</v>
      </c>
      <c r="D14" s="66">
        <v>-0.58499999999999996</v>
      </c>
      <c r="E14" s="66">
        <v>-6.1529999999999996</v>
      </c>
    </row>
    <row r="15" spans="1:5" ht="15" customHeight="1" x14ac:dyDescent="0.2">
      <c r="A15" s="70" t="s">
        <v>247</v>
      </c>
      <c r="B15" s="52">
        <v>-4.0640000000000001</v>
      </c>
      <c r="C15" s="52">
        <v>-1.504</v>
      </c>
      <c r="D15" s="52">
        <v>-0.67800000000000005</v>
      </c>
      <c r="E15" s="52">
        <v>-6.2460000000000004</v>
      </c>
    </row>
    <row r="16" spans="1:5" ht="15" customHeight="1" x14ac:dyDescent="0.2">
      <c r="A16" s="70" t="s">
        <v>248</v>
      </c>
      <c r="B16" s="52">
        <v>-4.0640000000000001</v>
      </c>
      <c r="C16" s="52">
        <v>-1.504</v>
      </c>
      <c r="D16" s="52">
        <v>-0.84099999999999997</v>
      </c>
      <c r="E16" s="52">
        <v>-6.4089999999999998</v>
      </c>
    </row>
  </sheetData>
  <mergeCells count="4">
    <mergeCell ref="A1:E1"/>
    <mergeCell ref="A2:E2"/>
    <mergeCell ref="A4:E4"/>
    <mergeCell ref="A9:E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Carry Summary</vt:lpstr>
      <vt:lpstr>Pool Selection</vt:lpstr>
      <vt:lpstr>P&amp;L</vt:lpstr>
      <vt:lpstr>Basis Trade</vt:lpstr>
      <vt:lpstr>Coupon Stack Trade</vt:lpstr>
      <vt:lpstr>Assumptions</vt:lpstr>
      <vt:lpstr>TBA Roll Table</vt:lpstr>
      <vt:lpstr>Pool Carry Table</vt:lpstr>
      <vt:lpstr>Net Carry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Ashley Hinkel</cp:lastModifiedBy>
  <cp:revision>0</cp:revision>
  <dcterms:created xsi:type="dcterms:W3CDTF">2026-06-23T02:18:42Z</dcterms:created>
  <dcterms:modified xsi:type="dcterms:W3CDTF">2026-06-23T03:59:15Z</dcterms:modified>
  <dc:language>en-US</dc:language>
</cp:coreProperties>
</file>
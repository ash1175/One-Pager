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shley/Downloads/"/>
    </mc:Choice>
  </mc:AlternateContent>
  <xr:revisionPtr revIDLastSave="0" documentId="8_{2D0C1716-3CF0-764E-92E6-F69C1132D3E2}" xr6:coauthVersionLast="47" xr6:coauthVersionMax="47" xr10:uidLastSave="{00000000-0000-0000-0000-000000000000}"/>
  <bookViews>
    <workbookView xWindow="0" yWindow="0" windowWidth="28800" windowHeight="18000" tabRatio="500" xr2:uid="{00000000-000D-0000-FFFF-FFFF00000000}"/>
  </bookViews>
  <sheets>
    <sheet name="Assumptions" sheetId="1" r:id="rId1"/>
    <sheet name="TBA Roll Table" sheetId="2" r:id="rId2"/>
    <sheet name="Pool Carry Table" sheetId="3" r:id="rId3"/>
    <sheet name="Net Carry Summary" sheetId="4" r:id="rId4"/>
    <sheet name="Hedge Rationale"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5" i="4" l="1"/>
  <c r="B15" i="4"/>
  <c r="B13" i="4"/>
  <c r="D6" i="4"/>
  <c r="B6" i="4"/>
  <c r="D10" i="3"/>
  <c r="D16" i="4" s="1"/>
  <c r="C10" i="3"/>
  <c r="C16" i="4" s="1"/>
  <c r="B10" i="3"/>
  <c r="D9" i="3"/>
  <c r="C9" i="3"/>
  <c r="C15" i="4" s="1"/>
  <c r="E15" i="4" s="1"/>
  <c r="B9" i="3"/>
  <c r="D8" i="3"/>
  <c r="D14" i="4" s="1"/>
  <c r="C8" i="3"/>
  <c r="C14" i="4" s="1"/>
  <c r="B8" i="3"/>
  <c r="B5" i="4" s="1"/>
  <c r="D7" i="3"/>
  <c r="D13" i="4" s="1"/>
  <c r="C7" i="3"/>
  <c r="C13" i="4" s="1"/>
  <c r="B7" i="3"/>
  <c r="D6" i="3"/>
  <c r="D12" i="4" s="1"/>
  <c r="C6" i="3"/>
  <c r="C12" i="4" s="1"/>
  <c r="B6" i="3"/>
  <c r="D5" i="3"/>
  <c r="C5" i="3"/>
  <c r="C11" i="4" s="1"/>
  <c r="B5" i="3"/>
  <c r="B11" i="4" s="1"/>
  <c r="E11" i="4" s="1"/>
  <c r="D10" i="2"/>
  <c r="C10" i="2"/>
  <c r="B10" i="2"/>
  <c r="B16" i="4" s="1"/>
  <c r="D9" i="2"/>
  <c r="C9" i="2"/>
  <c r="B9" i="2"/>
  <c r="D8" i="2"/>
  <c r="C8" i="2"/>
  <c r="C6" i="4" s="1"/>
  <c r="B8" i="2"/>
  <c r="D7" i="2"/>
  <c r="C7" i="2"/>
  <c r="B7" i="2"/>
  <c r="D6" i="2"/>
  <c r="C6" i="2"/>
  <c r="B6" i="2"/>
  <c r="B12" i="4" s="1"/>
  <c r="E12" i="4" s="1"/>
  <c r="D5" i="2"/>
  <c r="D11" i="4" s="1"/>
  <c r="C5" i="2"/>
  <c r="B5" i="2"/>
  <c r="E6" i="4" l="1"/>
  <c r="B7" i="4"/>
  <c r="E13" i="4"/>
  <c r="E16" i="4"/>
  <c r="B14" i="4"/>
  <c r="E14" i="4" s="1"/>
  <c r="C5" i="4"/>
  <c r="C7" i="4" s="1"/>
  <c r="D5" i="4"/>
  <c r="D7" i="4" s="1"/>
  <c r="E7" i="4" l="1"/>
  <c r="E5" i="4"/>
</calcChain>
</file>

<file path=xl/sharedStrings.xml><?xml version="1.0" encoding="utf-8"?>
<sst xmlns="http://schemas.openxmlformats.org/spreadsheetml/2006/main" count="173" uniqueCount="113">
  <si>
    <t>CARRY ANALYSIS – ASSUMPTIONS</t>
  </si>
  <si>
    <t>▶  TRADE SELECTION</t>
  </si>
  <si>
    <t>Selected Pool</t>
  </si>
  <si>
    <t>FR SL4960</t>
  </si>
  <si>
    <t>FICO story pool – FR; chosen on RV</t>
  </si>
  <si>
    <t>Ticker</t>
  </si>
  <si>
    <t>Bloomberg: FR SL4960 Mtge</t>
  </si>
  <si>
    <t>Coupon (%)</t>
  </si>
  <si>
    <t>Source: Bloomberg DES 6/22/2026</t>
  </si>
  <si>
    <t>Pool Price (clean, 32nds-decimal)</t>
  </si>
  <si>
    <t>102-28 = 102 + 28/32</t>
  </si>
  <si>
    <t>Pay-Up over TBA (ticks, 1/32nds)</t>
  </si>
  <si>
    <t>+29+ means 29 and 1/2 tick = 29.5/32nds; Source: desk</t>
  </si>
  <si>
    <t>▶  TBA ROLL (OBSERVED – FNCL 6 7/26)</t>
  </si>
  <si>
    <t>Jul-Aug Drop (ticks 1/32nd)</t>
  </si>
  <si>
    <t>Observed spec drop at 102-23 (TBA+payup), 17.3 CPR, 3.7% IFR, 7/13→8/13; Source: Bloomberg RA 6/22/2026</t>
  </si>
  <si>
    <t>Aug-Sep Drop (ticks 1/32nd)</t>
  </si>
  <si>
    <t>Observed spec drop at 102-23 (TBA+payup), 17.3 CPR, 3.7% IFR, 8/13→9/14; Source: Bloomberg RA 6/22/2026</t>
  </si>
  <si>
    <t>Sep-Oct Drop – assumption</t>
  </si>
  <si>
    <t>See by-CPR table below</t>
  </si>
  <si>
    <t>Projected; interpolated from 8 → 5.75 trend; update when available</t>
  </si>
  <si>
    <t>▶  IMPLIED FINANCING RATE (B/E FIN RATE)</t>
  </si>
  <si>
    <t>Jul-Aug  IFR (%)</t>
  </si>
  <si>
    <t>Source: Bloomberg RA screen 6/22/2026</t>
  </si>
  <si>
    <t>Aug-Sep  IFR (%)</t>
  </si>
  <si>
    <t>Same as Jul-Aug; desk guidance</t>
  </si>
  <si>
    <t>Sep-Oct  IFR (%)</t>
  </si>
  <si>
    <t>Priced-in Fed hike; desk guidance</t>
  </si>
  <si>
    <t>▶  PREPAYMENT SCENARIOS (CPR)</t>
  </si>
  <si>
    <t>CPR Min (%)</t>
  </si>
  <si>
    <t>Lower bound of scenario range</t>
  </si>
  <si>
    <t>CPR Max (%)</t>
  </si>
  <si>
    <t>Upper bound of scenario range</t>
  </si>
  <si>
    <t>CPR Step</t>
  </si>
  <si>
    <t>Increment</t>
  </si>
  <si>
    <t>Base-Case CPR (%)</t>
  </si>
  <si>
    <t>FR SL4960 1M CPR Jun-26; Source: Bloomberg DES</t>
  </si>
  <si>
    <t>▶  POOL CHARACTERISTICS (FR SL4960)</t>
  </si>
  <si>
    <t>WAC (%)</t>
  </si>
  <si>
    <t>WAM (months)</t>
  </si>
  <si>
    <t>Source: Bloomberg DES</t>
  </si>
  <si>
    <t>WALA (months)</t>
  </si>
  <si>
    <t>Avg FICO</t>
  </si>
  <si>
    <t>Source: Bloomberg DES; CL FICO story</t>
  </si>
  <si>
    <t>Avg LTV</t>
  </si>
  <si>
    <t># Loans</t>
  </si>
  <si>
    <t>Balance ($mm)</t>
  </si>
  <si>
    <t>Current UPB; Source: Bloomberg DES</t>
  </si>
  <si>
    <t>Vintage</t>
  </si>
  <si>
    <t>FNCL 6 2023</t>
  </si>
  <si>
    <t>Jul-Aug POOL CARRY by CPR (RA, imm=102-23, IFR=3.7%)</t>
  </si>
  <si>
    <t>Drop (ticks)</t>
  </si>
  <si>
    <t>Source: Bloomberg RA FNCL 6 7/26, 7/13→8/13, 6/22/2026</t>
  </si>
  <si>
    <t>5% CPR</t>
  </si>
  <si>
    <t>10% CPR</t>
  </si>
  <si>
    <t>15% CPR</t>
  </si>
  <si>
    <t>17% CPR</t>
  </si>
  <si>
    <t>20% CPR</t>
  </si>
  <si>
    <t>25% CPR</t>
  </si>
  <si>
    <t>Aug-Sep POOL CARRY by CPR (RA, imm=102-23, IFR=3.7%)</t>
  </si>
  <si>
    <t>Source: Bloomberg RA FNCL 6 7/26, 8/13→9/14, 6/22/2026</t>
  </si>
  <si>
    <t>Sep-Oct POOL CARRY by CPR (RA, imm=102-23, IFR=3.95%)</t>
  </si>
  <si>
    <t>Source: Bloomberg RA FNCL 6 7/26, 9/14→10/13, 6/22/2026</t>
  </si>
  <si>
    <t>TBA GENERIC DROPS (RA at TBA price, CPR-invariant for JA/AS)</t>
  </si>
  <si>
    <t>Jul-Aug TBA</t>
  </si>
  <si>
    <t>Aug-Sep TBA</t>
  </si>
  <si>
    <t>Sep-Oct TBA GENERIC DROPS by CPR (RA, imm=TBA price, IFR=3.95%)</t>
  </si>
  <si>
    <t>Source: Bloomberg RA FNCL 6 7/26, 9/14→10/13, generic price, 6/22/2026</t>
  </si>
  <si>
    <t>TBA ROLL CARRY TABLE  (in ticks, 1/32nd per $1mm face)</t>
  </si>
  <si>
    <t>TBA Roll Cost = negative of the generic TBA drop (RA at TBA price, no pay-up). Jul-Aug: −8.000 ticks. Aug-Sep: −5.750 ticks (CPR-invariant for near months). Sep-Oct: CPR-specific drops from Bloomberg RA at generic price (run separately).</t>
  </si>
  <si>
    <t>Mechanics:  Rolling a TBA short = sell near, buy far.  You receive the drop when you roll from near to far.  For SPECIAL pools the TBA trades rich, so the special drop is HIGHER than the generic roll – this is a COST to the spec pool long position.  Net TBA roll carry = −Drop (the short TBA roll is a negative carry item).</t>
  </si>
  <si>
    <t>CPR Scenario</t>
  </si>
  <si>
    <t>Jul-Aug</t>
  </si>
  <si>
    <t>Aug-Sep</t>
  </si>
  <si>
    <t>Sep-Oct</t>
  </si>
  <si>
    <t>◀ BASE CASE (17% CPR ≈ 1M CPR of FR SL4960)</t>
  </si>
  <si>
    <t>POOL CARRY TABLE  (in ticks, 1/32nd per $1mm face)</t>
  </si>
  <si>
    <t>Pool Carry = Bloomberg RA forward drop computed at adjusted imm. price (TBA price + 29.5 tick pay-up = 102-23). The pay-up is already embedded in the price input, so these drops are the spec-adjusted carry directly from RA. No further pay-up adjustment needed.</t>
  </si>
  <si>
    <t>Formula: Pool Carry (ticks) = TBA Drop (ticks) − [ Pay-Up (ticks) × IFR% / 12 ]  where IFR is the B/E financing rate for that month from Bloomberg RA.  Sep-Oct: Pool Carry is SET EQUAL to Pool Carry (assumption per desk) because Sep-Oct TBA drop is not yet tradeable; it equals the carry earned.</t>
  </si>
  <si>
    <t>NET CARRY SUMMARY  (ticks, 1/32nd)  –  Spec Pool Long vs TBA Short Hedge</t>
  </si>
  <si>
    <t>Position: LONG FR SL4960 spec pool  +  SHORT FNCL 6 TBA (hedge).  The TBA roll is a COST (negative) because special pools command a higher drop.  The Pool earns carry from its coupon relative to its financing cost (the drop).  Net Carry = Pool Carry – TBA Roll Cost.  Positive = carry-positive position.</t>
  </si>
  <si>
    <t>Component</t>
  </si>
  <si>
    <t>3-Month Total</t>
  </si>
  <si>
    <t>BASE CASE  (17% CPR ≈ FR SL4960 1M CPR)</t>
  </si>
  <si>
    <t>Pool Carry (ticks)</t>
  </si>
  <si>
    <t>TBA Roll Cost (ticks, negative)</t>
  </si>
  <si>
    <t>NET CARRY  (Pool − TBA Roll Cost)</t>
  </si>
  <si>
    <t>CPR SENSITIVITY – NET CARRY (ticks)</t>
  </si>
  <si>
    <t>HEDGE ANALYSIS  –  FR SL4960 Long Position</t>
  </si>
  <si>
    <t>Hedge</t>
  </si>
  <si>
    <t>Instrument</t>
  </si>
  <si>
    <t>Direction</t>
  </si>
  <si>
    <t>Ratio</t>
  </si>
  <si>
    <t>Hedges</t>
  </si>
  <si>
    <t>Notes / Risks</t>
  </si>
  <si>
    <t>1. Basis Trade
(Rate Duration)</t>
  </si>
  <si>
    <t>Short 10Y UST</t>
  </si>
  <si>
    <t>Short</t>
  </si>
  <si>
    <t>DV01-Neutral
(32% ratio)</t>
  </si>
  <si>
    <t>Rate duration / parallel shift risk</t>
  </si>
  <si>
    <t>Risks: Curve twist (10Y vs MBS duration mismatch), spread widening independent of rates, convexity – pool has negative convexity at par, UST does not</t>
  </si>
  <si>
    <t>2. Coupon Stack
(MBS Basis / Spread)</t>
  </si>
  <si>
    <t>Short FNCL 5.5 TBA</t>
  </si>
  <si>
    <t>DV01-Neutral
(73% ratio)</t>
  </si>
  <si>
    <t>MBS basis / OAS widening vs current coupon</t>
  </si>
  <si>
    <t>Risks: Roll specialness of 5.5 TBA diverges from 6.0, coupon drift as rates move, basis can widen for non-rate reasons (Fed taper, bank demand)</t>
  </si>
  <si>
    <t>3. TBA Roll
(Prepay / Carry)</t>
  </si>
  <si>
    <t>Short 7-26 FHLMC 6 TBA
Long  8-26 FHLMC 6 TBA</t>
  </si>
  <si>
    <t>Short near / Long far</t>
  </si>
  <si>
    <t>1:1 (dollar)</t>
  </si>
  <si>
    <t>Isolates spec pool pay-up vs TBA roll; hedges generic prepay exposure</t>
  </si>
  <si>
    <t>CORRECTED: Pool is special → TBA roll hedge has NEGATIVE carry. Rolling costs the special drop each month. Risks: specialness collapses (pay-up compresses), pool prepays faster than TBA (destroys pay-up value), financing rate spike widens carry gap</t>
  </si>
  <si>
    <t>⚠  CORRECTION NOTE:  The TBA roll hedge was listed with positive carry.  This is incorrect for SPECIAL pools.  Because FR SL4960 is a FICO story spec pool trading at +29 pay-up, the TBA into which you roll the hedge trades at a SPECIAL (rich) level.  Rolling the short TBA costs you the special drop each month – this is NEGATIVE carry to the position.  The Net Carry Summary sheet shows the corrected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</si>
</sst>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9"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i/>
      <sz val="9"/>
      <color rgb="FF7F7F7F"/>
      <name val="Arial"/>
      <charset val="1"/>
    </font>
    <font>
      <sz val="10"/>
      <color rgb="FF0000FF"/>
      <name val="Arial"/>
      <charset val="1"/>
    </font>
    <font>
      <sz val="10"/>
      <name val="Arial"/>
      <charset val="1"/>
    </font>
    <font>
      <b/>
      <sz val="12"/>
      <color rgb="FFFFFFFF"/>
      <name val="Arial"/>
      <charset val="1"/>
    </font>
    <font>
      <i/>
      <sz val="9"/>
      <color rgb="FF404040"/>
      <name val="Arial"/>
      <charset val="1"/>
    </font>
    <font>
      <b/>
      <sz val="11"/>
      <color rgb="FFFFFFFF"/>
      <name val="Arial"/>
      <charset val="1"/>
    </font>
    <font>
      <b/>
      <sz val="10"/>
      <color rgb="FF0000FF"/>
      <name val="Arial"/>
      <charset val="1"/>
    </font>
    <font>
      <b/>
      <sz val="10"/>
      <color rgb="FFC00000"/>
      <name val="Arial"/>
      <charset val="1"/>
    </font>
    <font>
      <b/>
      <sz val="9"/>
      <color rgb="FFC00000"/>
      <name val="Arial"/>
      <charset val="1"/>
    </font>
    <font>
      <sz val="10"/>
      <color rgb="FF00703C"/>
      <name val="Arial"/>
      <charset val="1"/>
    </font>
    <font>
      <b/>
      <sz val="10"/>
      <color rgb="FF00703C"/>
      <name val="Arial"/>
      <charset val="1"/>
    </font>
    <font>
      <sz val="10"/>
      <color rgb="FFC00000"/>
      <name val="Arial"/>
      <charset val="1"/>
    </font>
    <font>
      <b/>
      <sz val="10"/>
      <color rgb="FF000000"/>
      <name val="Arial"/>
      <charset val="1"/>
    </font>
    <font>
      <b/>
      <sz val="11"/>
      <color rgb="FF000000"/>
      <name val="Arial"/>
      <charset val="1"/>
    </font>
    <font>
      <sz val="9"/>
      <color rgb="FF000000"/>
      <name val="Arial"/>
      <charset val="1"/>
    </font>
  </fonts>
  <fills count="11">
    <fill>
      <patternFill patternType="none"/>
    </fill>
    <fill>
      <patternFill patternType="gray125"/>
    </fill>
    <fill>
      <patternFill patternType="solid">
        <fgColor rgb="FF1F3864"/>
        <bgColor rgb="FF2E4057"/>
      </patternFill>
    </fill>
    <fill>
      <patternFill patternType="solid">
        <fgColor rgb="FF2E4057"/>
        <bgColor rgb="FF1F3864"/>
      </patternFill>
    </fill>
    <fill>
      <patternFill patternType="solid">
        <fgColor rgb="FFFFFFFF"/>
        <bgColor rgb="FFF2F2F2"/>
      </patternFill>
    </fill>
    <fill>
      <patternFill patternType="solid">
        <fgColor rgb="FFF2F2F2"/>
        <bgColor rgb="FFFFE6E6"/>
      </patternFill>
    </fill>
    <fill>
      <patternFill patternType="solid">
        <fgColor rgb="FFD9E1F2"/>
        <bgColor rgb="FFD9F0D9"/>
      </patternFill>
    </fill>
    <fill>
      <patternFill patternType="solid">
        <fgColor rgb="FFBDD7EE"/>
        <bgColor rgb="FFD9E1F2"/>
      </patternFill>
    </fill>
    <fill>
      <patternFill patternType="solid">
        <fgColor rgb="FFFFF2CC"/>
        <bgColor rgb="FFFFE6E6"/>
      </patternFill>
    </fill>
    <fill>
      <patternFill patternType="solid">
        <fgColor rgb="FFD9F0D9"/>
        <bgColor rgb="FFD9E1F2"/>
      </patternFill>
    </fill>
    <fill>
      <patternFill patternType="solid">
        <fgColor rgb="FFFFE6E6"/>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52">
    <xf numFmtId="0" fontId="0" fillId="0" borderId="0" xfId="0"/>
    <xf numFmtId="0" fontId="11" fillId="10" borderId="4" xfId="0" applyFont="1" applyFill="1" applyBorder="1" applyAlignment="1">
      <alignment horizontal="left" vertical="top" wrapText="1" indent="1"/>
    </xf>
    <xf numFmtId="0" fontId="9" fillId="3" borderId="0" xfId="0" applyFont="1" applyFill="1" applyAlignment="1">
      <alignment horizontal="center" vertical="center" wrapText="1"/>
    </xf>
    <xf numFmtId="0" fontId="2" fillId="3" borderId="0" xfId="0" applyFont="1" applyFill="1" applyAlignment="1">
      <alignment horizontal="center" vertical="center" wrapText="1"/>
    </xf>
    <xf numFmtId="0" fontId="12" fillId="8" borderId="2" xfId="0" applyFont="1" applyFill="1" applyBorder="1" applyAlignment="1">
      <alignment horizontal="left" vertical="center" indent="1"/>
    </xf>
    <xf numFmtId="0" fontId="8" fillId="5" borderId="0" xfId="0" applyFont="1" applyFill="1" applyAlignment="1">
      <alignment horizontal="left" vertical="center" wrapText="1" indent="1"/>
    </xf>
    <xf numFmtId="0" fontId="7" fillId="2" borderId="0" xfId="0" applyFont="1" applyFill="1" applyAlignment="1">
      <alignment horizontal="center" vertical="center" wrapText="1"/>
    </xf>
    <xf numFmtId="0" fontId="2" fillId="3" borderId="0" xfId="0" applyFont="1" applyFill="1" applyAlignment="1">
      <alignment horizontal="left" vertical="center" indent="1"/>
    </xf>
    <xf numFmtId="0" fontId="1" fillId="2" borderId="0" xfId="0" applyFont="1" applyFill="1" applyAlignment="1">
      <alignment horizontal="center" vertical="center" wrapText="1"/>
    </xf>
    <xf numFmtId="0" fontId="3" fillId="4" borderId="1" xfId="0" applyFont="1" applyFill="1" applyBorder="1" applyAlignment="1">
      <alignment horizontal="left" vertical="center" indent="1"/>
    </xf>
    <xf numFmtId="49" fontId="3" fillId="4" borderId="1" xfId="0" applyNumberFormat="1" applyFont="1" applyFill="1" applyBorder="1" applyAlignment="1">
      <alignment horizontal="right" vertical="center"/>
    </xf>
    <xf numFmtId="0" fontId="4" fillId="4" borderId="1" xfId="0" applyFont="1" applyFill="1" applyBorder="1" applyAlignment="1">
      <alignment horizontal="left" vertical="center" indent="1"/>
    </xf>
    <xf numFmtId="0" fontId="3" fillId="5" borderId="1" xfId="0" applyFont="1" applyFill="1" applyBorder="1" applyAlignment="1">
      <alignment horizontal="left" vertical="center" indent="1"/>
    </xf>
    <xf numFmtId="49" fontId="3" fillId="5" borderId="1" xfId="0" applyNumberFormat="1" applyFont="1" applyFill="1" applyBorder="1" applyAlignment="1">
      <alignment horizontal="right" vertical="center"/>
    </xf>
    <xf numFmtId="0" fontId="4" fillId="5" borderId="1" xfId="0" applyFont="1" applyFill="1" applyBorder="1" applyAlignment="1">
      <alignment horizontal="left" vertical="center" indent="1"/>
    </xf>
    <xf numFmtId="164" fontId="5" fillId="4"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65" fontId="5" fillId="4" borderId="1" xfId="0" applyNumberFormat="1" applyFont="1" applyFill="1" applyBorder="1" applyAlignment="1">
      <alignment horizontal="right" vertical="center"/>
    </xf>
    <xf numFmtId="1" fontId="5" fillId="4" borderId="1" xfId="0" applyNumberFormat="1" applyFont="1" applyFill="1" applyBorder="1" applyAlignment="1">
      <alignment horizontal="right" vertical="center"/>
    </xf>
    <xf numFmtId="1" fontId="5" fillId="5" borderId="1" xfId="0" applyNumberFormat="1" applyFont="1" applyFill="1" applyBorder="1" applyAlignment="1">
      <alignment horizontal="right" vertical="center"/>
    </xf>
    <xf numFmtId="0" fontId="2" fillId="3" borderId="0" xfId="0" applyFont="1" applyFill="1"/>
    <xf numFmtId="0" fontId="4" fillId="0" borderId="0" xfId="0" applyFont="1"/>
    <xf numFmtId="0" fontId="3" fillId="5" borderId="1" xfId="0" applyFont="1" applyFill="1" applyBorder="1"/>
    <xf numFmtId="0" fontId="3" fillId="4" borderId="1" xfId="0" applyFont="1" applyFill="1" applyBorder="1"/>
    <xf numFmtId="0" fontId="6" fillId="5" borderId="1" xfId="0" applyFont="1" applyFill="1" applyBorder="1"/>
    <xf numFmtId="164" fontId="5" fillId="5" borderId="1" xfId="0" applyNumberFormat="1" applyFont="1" applyFill="1" applyBorder="1" applyAlignment="1">
      <alignment horizontal="right"/>
    </xf>
    <xf numFmtId="0" fontId="6" fillId="4" borderId="1" xfId="0" applyFont="1" applyFill="1" applyBorder="1"/>
    <xf numFmtId="164" fontId="5" fillId="4" borderId="1" xfId="0" applyNumberFormat="1" applyFont="1" applyFill="1" applyBorder="1" applyAlignment="1">
      <alignment horizontal="right"/>
    </xf>
    <xf numFmtId="0" fontId="9"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164" fontId="3" fillId="5" borderId="1" xfId="0" applyNumberFormat="1" applyFont="1" applyFill="1" applyBorder="1" applyAlignment="1">
      <alignment horizontal="right" vertical="center"/>
    </xf>
    <xf numFmtId="0" fontId="10" fillId="7" borderId="1" xfId="0" applyFont="1" applyFill="1" applyBorder="1" applyAlignment="1">
      <alignment horizontal="center" vertical="center" wrapText="1"/>
    </xf>
    <xf numFmtId="164" fontId="3" fillId="4" borderId="1" xfId="0" applyNumberFormat="1" applyFont="1" applyFill="1" applyBorder="1" applyAlignment="1">
      <alignment horizontal="right" vertical="center"/>
    </xf>
    <xf numFmtId="0" fontId="10" fillId="8" borderId="1" xfId="0" applyFont="1" applyFill="1" applyBorder="1" applyAlignment="1">
      <alignment horizontal="center" vertical="center" wrapText="1"/>
    </xf>
    <xf numFmtId="164" fontId="11" fillId="8" borderId="1" xfId="0" applyNumberFormat="1" applyFont="1" applyFill="1" applyBorder="1" applyAlignment="1">
      <alignment horizontal="right" vertical="center"/>
    </xf>
    <xf numFmtId="164" fontId="13" fillId="4" borderId="1" xfId="0" applyNumberFormat="1" applyFont="1" applyFill="1" applyBorder="1" applyAlignment="1">
      <alignment horizontal="right" vertical="center"/>
    </xf>
    <xf numFmtId="164" fontId="14" fillId="4" borderId="3" xfId="0" applyNumberFormat="1" applyFont="1" applyFill="1" applyBorder="1" applyAlignment="1">
      <alignment horizontal="right" vertical="center"/>
    </xf>
    <xf numFmtId="164" fontId="15" fillId="5" borderId="1" xfId="0" applyNumberFormat="1" applyFont="1" applyFill="1" applyBorder="1" applyAlignment="1">
      <alignment horizontal="right" vertical="center"/>
    </xf>
    <xf numFmtId="164" fontId="11" fillId="5" borderId="3" xfId="0" applyNumberFormat="1" applyFont="1" applyFill="1" applyBorder="1" applyAlignment="1">
      <alignment horizontal="right" vertical="center"/>
    </xf>
    <xf numFmtId="0" fontId="16" fillId="9" borderId="1" xfId="0" applyFont="1" applyFill="1" applyBorder="1" applyAlignment="1">
      <alignment horizontal="left" vertical="center" indent="1"/>
    </xf>
    <xf numFmtId="164" fontId="10" fillId="9" borderId="1" xfId="0" applyNumberFormat="1" applyFont="1" applyFill="1" applyBorder="1" applyAlignment="1">
      <alignment horizontal="right" vertical="center"/>
    </xf>
    <xf numFmtId="164" fontId="10" fillId="9" borderId="3" xfId="0" applyNumberFormat="1" applyFont="1" applyFill="1" applyBorder="1" applyAlignment="1">
      <alignment horizontal="right" vertical="center"/>
    </xf>
    <xf numFmtId="0" fontId="0" fillId="2" borderId="0" xfId="0" applyFill="1"/>
    <xf numFmtId="164" fontId="17" fillId="5" borderId="3" xfId="0" applyNumberFormat="1" applyFont="1" applyFill="1" applyBorder="1" applyAlignment="1">
      <alignment horizontal="right" vertical="center"/>
    </xf>
    <xf numFmtId="164" fontId="17" fillId="4" borderId="3" xfId="0" applyNumberFormat="1" applyFont="1" applyFill="1" applyBorder="1" applyAlignment="1">
      <alignment horizontal="right" vertical="center"/>
    </xf>
    <xf numFmtId="0" fontId="11" fillId="8" borderId="1" xfId="0" applyFont="1" applyFill="1" applyBorder="1" applyAlignment="1">
      <alignment horizontal="center" vertical="center" wrapText="1"/>
    </xf>
    <xf numFmtId="164" fontId="11" fillId="8" borderId="3" xfId="0" applyNumberFormat="1" applyFont="1" applyFill="1" applyBorder="1" applyAlignment="1">
      <alignment horizontal="right" vertical="center"/>
    </xf>
    <xf numFmtId="0" fontId="18" fillId="4" borderId="1" xfId="0" applyFont="1" applyFill="1" applyBorder="1" applyAlignment="1">
      <alignment horizontal="left" vertical="top" wrapText="1" indent="1"/>
    </xf>
    <xf numFmtId="0" fontId="18" fillId="5" borderId="1"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703C"/>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1F2"/>
      <rgbColor rgb="FFD9F0D9"/>
      <rgbColor rgb="FFFFE6E6"/>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405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tabSelected="1" zoomScaleNormal="100" workbookViewId="0">
      <pane ySplit="1" topLeftCell="A2" activePane="bottomLeft" state="frozen"/>
      <selection pane="bottomLeft" activeCell="B48" sqref="B48"/>
    </sheetView>
  </sheetViews>
  <sheetFormatPr baseColWidth="10" defaultColWidth="8.6640625" defaultRowHeight="15" x14ac:dyDescent="0.2"/>
  <cols>
    <col min="1" max="1" width="34" customWidth="1"/>
    <col min="2" max="2" width="18" customWidth="1"/>
    <col min="3" max="3" width="80.1640625" bestFit="1" customWidth="1"/>
  </cols>
  <sheetData>
    <row r="1" spans="1:3" ht="25.5" customHeight="1" x14ac:dyDescent="0.2">
      <c r="A1" s="8" t="s">
        <v>0</v>
      </c>
      <c r="B1" s="8"/>
      <c r="C1" s="8"/>
    </row>
    <row r="2" spans="1:3" ht="18" customHeight="1" x14ac:dyDescent="0.2">
      <c r="A2" s="7" t="s">
        <v>1</v>
      </c>
      <c r="B2" s="7"/>
      <c r="C2" s="7"/>
    </row>
    <row r="3" spans="1:3" ht="15" customHeight="1" x14ac:dyDescent="0.2">
      <c r="A3" s="9" t="s">
        <v>2</v>
      </c>
      <c r="B3" s="10" t="s">
        <v>3</v>
      </c>
      <c r="C3" s="11" t="s">
        <v>4</v>
      </c>
    </row>
    <row r="4" spans="1:3" ht="15" customHeight="1" x14ac:dyDescent="0.2">
      <c r="A4" s="12" t="s">
        <v>5</v>
      </c>
      <c r="B4" s="13" t="s">
        <v>3</v>
      </c>
      <c r="C4" s="14" t="s">
        <v>6</v>
      </c>
    </row>
    <row r="5" spans="1:3" ht="15" customHeight="1" x14ac:dyDescent="0.2">
      <c r="A5" s="9" t="s">
        <v>7</v>
      </c>
      <c r="B5" s="15">
        <v>6</v>
      </c>
      <c r="C5" s="11" t="s">
        <v>8</v>
      </c>
    </row>
    <row r="6" spans="1:3" ht="15" customHeight="1" x14ac:dyDescent="0.2">
      <c r="A6" s="12" t="s">
        <v>9</v>
      </c>
      <c r="B6" s="16">
        <v>102.875</v>
      </c>
      <c r="C6" s="14" t="s">
        <v>10</v>
      </c>
    </row>
    <row r="7" spans="1:3" ht="15" customHeight="1" x14ac:dyDescent="0.2">
      <c r="A7" s="9" t="s">
        <v>11</v>
      </c>
      <c r="B7" s="15">
        <v>29.5</v>
      </c>
      <c r="C7" s="11" t="s">
        <v>12</v>
      </c>
    </row>
    <row r="9" spans="1:3" ht="18" customHeight="1" x14ac:dyDescent="0.2">
      <c r="A9" s="7" t="s">
        <v>13</v>
      </c>
      <c r="B9" s="7"/>
      <c r="C9" s="7"/>
    </row>
    <row r="10" spans="1:3" ht="15" customHeight="1" x14ac:dyDescent="0.2">
      <c r="A10" s="12" t="s">
        <v>14</v>
      </c>
      <c r="B10" s="16">
        <v>3.9359999999999999</v>
      </c>
      <c r="C10" s="14" t="s">
        <v>15</v>
      </c>
    </row>
    <row r="11" spans="1:3" ht="15" customHeight="1" x14ac:dyDescent="0.2">
      <c r="A11" s="9" t="s">
        <v>16</v>
      </c>
      <c r="B11" s="15">
        <v>4.1319999999999997</v>
      </c>
      <c r="C11" s="11" t="s">
        <v>17</v>
      </c>
    </row>
    <row r="12" spans="1:3" ht="15" customHeight="1" x14ac:dyDescent="0.2">
      <c r="A12" s="12" t="s">
        <v>18</v>
      </c>
      <c r="B12" s="17" t="s">
        <v>19</v>
      </c>
      <c r="C12" s="14" t="s">
        <v>20</v>
      </c>
    </row>
    <row r="14" spans="1:3" ht="18" customHeight="1" x14ac:dyDescent="0.2">
      <c r="A14" s="7" t="s">
        <v>21</v>
      </c>
      <c r="B14" s="7"/>
      <c r="C14" s="7"/>
    </row>
    <row r="15" spans="1:3" ht="15" customHeight="1" x14ac:dyDescent="0.2">
      <c r="A15" s="9" t="s">
        <v>22</v>
      </c>
      <c r="B15" s="15">
        <v>3.7</v>
      </c>
      <c r="C15" s="11" t="s">
        <v>23</v>
      </c>
    </row>
    <row r="16" spans="1:3" ht="15" customHeight="1" x14ac:dyDescent="0.2">
      <c r="A16" s="12" t="s">
        <v>24</v>
      </c>
      <c r="B16" s="16">
        <v>3.7</v>
      </c>
      <c r="C16" s="14" t="s">
        <v>25</v>
      </c>
    </row>
    <row r="17" spans="1:3" ht="15" customHeight="1" x14ac:dyDescent="0.2">
      <c r="A17" s="9" t="s">
        <v>26</v>
      </c>
      <c r="B17" s="15">
        <v>3.95</v>
      </c>
      <c r="C17" s="11" t="s">
        <v>27</v>
      </c>
    </row>
    <row r="19" spans="1:3" ht="18" customHeight="1" x14ac:dyDescent="0.2">
      <c r="A19" s="7" t="s">
        <v>28</v>
      </c>
      <c r="B19" s="7"/>
      <c r="C19" s="7"/>
    </row>
    <row r="20" spans="1:3" ht="15" customHeight="1" x14ac:dyDescent="0.2">
      <c r="A20" s="12" t="s">
        <v>29</v>
      </c>
      <c r="B20" s="18">
        <v>5</v>
      </c>
      <c r="C20" s="14" t="s">
        <v>30</v>
      </c>
    </row>
    <row r="21" spans="1:3" ht="15" customHeight="1" x14ac:dyDescent="0.2">
      <c r="A21" s="9" t="s">
        <v>31</v>
      </c>
      <c r="B21" s="19">
        <v>25</v>
      </c>
      <c r="C21" s="11" t="s">
        <v>32</v>
      </c>
    </row>
    <row r="22" spans="1:3" ht="15" customHeight="1" x14ac:dyDescent="0.2">
      <c r="A22" s="12" t="s">
        <v>33</v>
      </c>
      <c r="B22" s="18">
        <v>5</v>
      </c>
      <c r="C22" s="14" t="s">
        <v>34</v>
      </c>
    </row>
    <row r="23" spans="1:3" ht="15" customHeight="1" x14ac:dyDescent="0.2">
      <c r="A23" s="9" t="s">
        <v>35</v>
      </c>
      <c r="B23" s="15">
        <v>17.3</v>
      </c>
      <c r="C23" s="11" t="s">
        <v>36</v>
      </c>
    </row>
    <row r="25" spans="1:3" ht="18" customHeight="1" x14ac:dyDescent="0.2">
      <c r="A25" s="7" t="s">
        <v>37</v>
      </c>
      <c r="B25" s="7"/>
      <c r="C25" s="7"/>
    </row>
    <row r="26" spans="1:3" ht="15" customHeight="1" x14ac:dyDescent="0.2">
      <c r="A26" s="12" t="s">
        <v>38</v>
      </c>
      <c r="B26" s="16">
        <v>6.9740000000000002</v>
      </c>
      <c r="C26" s="14" t="s">
        <v>8</v>
      </c>
    </row>
    <row r="27" spans="1:3" ht="15" customHeight="1" x14ac:dyDescent="0.2">
      <c r="A27" s="9" t="s">
        <v>39</v>
      </c>
      <c r="B27" s="20">
        <v>325</v>
      </c>
      <c r="C27" s="11" t="s">
        <v>40</v>
      </c>
    </row>
    <row r="28" spans="1:3" ht="15" customHeight="1" x14ac:dyDescent="0.2">
      <c r="A28" s="12" t="s">
        <v>41</v>
      </c>
      <c r="B28" s="21">
        <v>30</v>
      </c>
      <c r="C28" s="14" t="s">
        <v>40</v>
      </c>
    </row>
    <row r="29" spans="1:3" ht="15" customHeight="1" x14ac:dyDescent="0.2">
      <c r="A29" s="9" t="s">
        <v>42</v>
      </c>
      <c r="B29" s="20">
        <v>676</v>
      </c>
      <c r="C29" s="11" t="s">
        <v>43</v>
      </c>
    </row>
    <row r="30" spans="1:3" ht="15" customHeight="1" x14ac:dyDescent="0.2">
      <c r="A30" s="12" t="s">
        <v>44</v>
      </c>
      <c r="B30" s="21">
        <v>80</v>
      </c>
      <c r="C30" s="14" t="s">
        <v>40</v>
      </c>
    </row>
    <row r="31" spans="1:3" ht="15" customHeight="1" x14ac:dyDescent="0.2">
      <c r="A31" s="9" t="s">
        <v>45</v>
      </c>
      <c r="B31" s="20">
        <v>2841</v>
      </c>
      <c r="C31" s="11" t="s">
        <v>40</v>
      </c>
    </row>
    <row r="32" spans="1:3" ht="15" customHeight="1" x14ac:dyDescent="0.2">
      <c r="A32" s="12" t="s">
        <v>46</v>
      </c>
      <c r="B32" s="16">
        <v>110.28</v>
      </c>
      <c r="C32" s="14" t="s">
        <v>47</v>
      </c>
    </row>
    <row r="33" spans="1:3" ht="15" customHeight="1" x14ac:dyDescent="0.2">
      <c r="A33" s="9" t="s">
        <v>48</v>
      </c>
      <c r="B33" s="10" t="s">
        <v>49</v>
      </c>
      <c r="C33" s="11" t="s">
        <v>40</v>
      </c>
    </row>
    <row r="35" spans="1:3" ht="15" customHeight="1" x14ac:dyDescent="0.2">
      <c r="A35" s="22" t="s">
        <v>50</v>
      </c>
      <c r="B35" s="22" t="s">
        <v>51</v>
      </c>
      <c r="C35" s="23" t="s">
        <v>52</v>
      </c>
    </row>
    <row r="36" spans="1:3" ht="15" customHeight="1" x14ac:dyDescent="0.2">
      <c r="A36" s="24" t="s">
        <v>53</v>
      </c>
      <c r="B36" s="16">
        <v>5.0090000000000003</v>
      </c>
    </row>
    <row r="37" spans="1:3" ht="15" customHeight="1" x14ac:dyDescent="0.2">
      <c r="A37" s="25" t="s">
        <v>54</v>
      </c>
      <c r="B37" s="15">
        <v>4.5919999999999996</v>
      </c>
    </row>
    <row r="38" spans="1:3" ht="15" customHeight="1" x14ac:dyDescent="0.2">
      <c r="A38" s="24" t="s">
        <v>55</v>
      </c>
      <c r="B38" s="16">
        <v>4.1500000000000004</v>
      </c>
    </row>
    <row r="39" spans="1:3" ht="15" customHeight="1" x14ac:dyDescent="0.2">
      <c r="A39" s="25" t="s">
        <v>56</v>
      </c>
      <c r="B39" s="15">
        <v>3.9649999999999999</v>
      </c>
    </row>
    <row r="40" spans="1:3" ht="15" customHeight="1" x14ac:dyDescent="0.2">
      <c r="A40" s="24" t="s">
        <v>57</v>
      </c>
      <c r="B40" s="16">
        <v>3.6789999999999998</v>
      </c>
    </row>
    <row r="41" spans="1:3" ht="15" customHeight="1" x14ac:dyDescent="0.2">
      <c r="A41" s="25" t="s">
        <v>58</v>
      </c>
      <c r="B41" s="15">
        <v>3.1749999999999998</v>
      </c>
    </row>
    <row r="42" spans="1:3" ht="15" customHeight="1" x14ac:dyDescent="0.2">
      <c r="A42" s="22" t="s">
        <v>59</v>
      </c>
      <c r="B42" s="22" t="s">
        <v>51</v>
      </c>
      <c r="C42" s="23" t="s">
        <v>60</v>
      </c>
    </row>
    <row r="43" spans="1:3" ht="15" customHeight="1" x14ac:dyDescent="0.2">
      <c r="A43" s="24" t="s">
        <v>53</v>
      </c>
      <c r="B43" s="16">
        <v>5.2039999999999997</v>
      </c>
    </row>
    <row r="44" spans="1:3" ht="15" customHeight="1" x14ac:dyDescent="0.2">
      <c r="A44" s="25" t="s">
        <v>54</v>
      </c>
      <c r="B44" s="15">
        <v>4.7880000000000003</v>
      </c>
    </row>
    <row r="45" spans="1:3" ht="15" customHeight="1" x14ac:dyDescent="0.2">
      <c r="A45" s="24" t="s">
        <v>55</v>
      </c>
      <c r="B45" s="16">
        <v>4.2460000000000004</v>
      </c>
    </row>
    <row r="46" spans="1:3" ht="15" customHeight="1" x14ac:dyDescent="0.2">
      <c r="A46" s="25" t="s">
        <v>56</v>
      </c>
      <c r="B46" s="15">
        <v>4.1609999999999996</v>
      </c>
    </row>
    <row r="47" spans="1:3" ht="15" customHeight="1" x14ac:dyDescent="0.2">
      <c r="A47" s="24" t="s">
        <v>57</v>
      </c>
      <c r="B47" s="16">
        <v>3.8740000000000001</v>
      </c>
    </row>
    <row r="48" spans="1:3" ht="15" customHeight="1" x14ac:dyDescent="0.2">
      <c r="A48" s="25" t="s">
        <v>58</v>
      </c>
      <c r="B48" s="15">
        <v>3.37</v>
      </c>
    </row>
    <row r="49" spans="1:3" ht="15" customHeight="1" x14ac:dyDescent="0.2">
      <c r="A49" s="22" t="s">
        <v>61</v>
      </c>
      <c r="B49" s="22" t="s">
        <v>51</v>
      </c>
      <c r="C49" s="23" t="s">
        <v>62</v>
      </c>
    </row>
    <row r="50" spans="1:3" ht="15" customHeight="1" x14ac:dyDescent="0.2">
      <c r="A50" s="24" t="s">
        <v>53</v>
      </c>
      <c r="B50" s="16">
        <v>4.7320000000000002</v>
      </c>
    </row>
    <row r="51" spans="1:3" ht="15" customHeight="1" x14ac:dyDescent="0.2">
      <c r="A51" s="25" t="s">
        <v>54</v>
      </c>
      <c r="B51" s="15">
        <v>4.4470000000000001</v>
      </c>
    </row>
    <row r="52" spans="1:3" ht="15" customHeight="1" x14ac:dyDescent="0.2">
      <c r="A52" s="24" t="s">
        <v>55</v>
      </c>
      <c r="B52" s="16">
        <v>4.1449999999999996</v>
      </c>
    </row>
    <row r="53" spans="1:3" ht="15" customHeight="1" x14ac:dyDescent="0.2">
      <c r="A53" s="25" t="s">
        <v>56</v>
      </c>
      <c r="B53" s="15">
        <v>4.0179999999999998</v>
      </c>
    </row>
    <row r="54" spans="1:3" ht="15" customHeight="1" x14ac:dyDescent="0.2">
      <c r="A54" s="24" t="s">
        <v>57</v>
      </c>
      <c r="B54" s="16">
        <v>3.823</v>
      </c>
    </row>
    <row r="55" spans="1:3" ht="15" customHeight="1" x14ac:dyDescent="0.2">
      <c r="A55" s="25" t="s">
        <v>58</v>
      </c>
      <c r="B55" s="15">
        <v>3.4780000000000002</v>
      </c>
    </row>
    <row r="56" spans="1:3" ht="15" customHeight="1" x14ac:dyDescent="0.2">
      <c r="A56" s="22" t="s">
        <v>63</v>
      </c>
      <c r="B56" s="22" t="s">
        <v>51</v>
      </c>
    </row>
    <row r="57" spans="1:3" ht="15" customHeight="1" x14ac:dyDescent="0.2">
      <c r="A57" s="24" t="s">
        <v>64</v>
      </c>
      <c r="B57" s="16">
        <v>8</v>
      </c>
    </row>
    <row r="58" spans="1:3" ht="15" customHeight="1" x14ac:dyDescent="0.2">
      <c r="A58" s="25" t="s">
        <v>65</v>
      </c>
      <c r="B58" s="15">
        <v>5.75</v>
      </c>
    </row>
    <row r="60" spans="1:3" ht="15" customHeight="1" x14ac:dyDescent="0.2">
      <c r="A60" s="22" t="s">
        <v>66</v>
      </c>
      <c r="B60" s="22" t="s">
        <v>51</v>
      </c>
      <c r="C60" s="23" t="s">
        <v>67</v>
      </c>
    </row>
    <row r="61" spans="1:3" ht="15" customHeight="1" x14ac:dyDescent="0.2">
      <c r="A61" s="26" t="s">
        <v>53</v>
      </c>
      <c r="B61" s="27">
        <v>4.4829999999999997</v>
      </c>
    </row>
    <row r="62" spans="1:3" ht="15" customHeight="1" x14ac:dyDescent="0.2">
      <c r="A62" s="28" t="s">
        <v>54</v>
      </c>
      <c r="B62" s="29">
        <v>4.0650000000000004</v>
      </c>
    </row>
    <row r="63" spans="1:3" ht="15" customHeight="1" x14ac:dyDescent="0.2">
      <c r="A63" s="26" t="s">
        <v>55</v>
      </c>
      <c r="B63" s="27">
        <v>4.1449999999999996</v>
      </c>
    </row>
    <row r="64" spans="1:3" ht="15" customHeight="1" x14ac:dyDescent="0.2">
      <c r="A64" s="28" t="s">
        <v>56</v>
      </c>
      <c r="B64" s="29">
        <v>4.0179999999999998</v>
      </c>
    </row>
    <row r="65" spans="1:2" ht="15" customHeight="1" x14ac:dyDescent="0.2">
      <c r="A65" s="26" t="s">
        <v>57</v>
      </c>
      <c r="B65" s="27">
        <v>3.823</v>
      </c>
    </row>
    <row r="66" spans="1:2" ht="15" customHeight="1" x14ac:dyDescent="0.2">
      <c r="A66" s="28" t="s">
        <v>58</v>
      </c>
      <c r="B66" s="29">
        <v>3.4780000000000002</v>
      </c>
    </row>
  </sheetData>
  <mergeCells count="6">
    <mergeCell ref="A25:C25"/>
    <mergeCell ref="A1:C1"/>
    <mergeCell ref="A2:C2"/>
    <mergeCell ref="A9:C9"/>
    <mergeCell ref="A14:C14"/>
    <mergeCell ref="A19:C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Normal="100" workbookViewId="0">
      <pane xSplit="1" ySplit="4" topLeftCell="B5" activePane="bottomRight" state="frozen"/>
      <selection pane="topRight" activeCell="B1" sqref="B1"/>
      <selection pane="bottomLeft" activeCell="A5" sqref="A5"/>
      <selection pane="bottomRight" activeCell="D5" sqref="D5"/>
    </sheetView>
  </sheetViews>
  <sheetFormatPr baseColWidth="10" defaultColWidth="8.6640625" defaultRowHeight="15" x14ac:dyDescent="0.2"/>
  <cols>
    <col min="1" max="1" width="22" customWidth="1"/>
    <col min="2" max="3" width="20" customWidth="1"/>
    <col min="4" max="4" width="7.6640625" bestFit="1" customWidth="1"/>
  </cols>
  <sheetData>
    <row r="1" spans="1:4" ht="25.5" customHeight="1" x14ac:dyDescent="0.2">
      <c r="A1" s="6" t="s">
        <v>68</v>
      </c>
      <c r="B1" s="6"/>
      <c r="C1" s="6"/>
      <c r="D1" s="6"/>
    </row>
    <row r="2" spans="1:4" ht="42" customHeight="1" x14ac:dyDescent="0.2">
      <c r="A2" s="5" t="s">
        <v>69</v>
      </c>
      <c r="B2" s="5"/>
      <c r="C2" s="5"/>
      <c r="D2" s="5"/>
    </row>
    <row r="3" spans="1:4" ht="42" customHeight="1" x14ac:dyDescent="0.2">
      <c r="A3" s="5" t="s">
        <v>70</v>
      </c>
      <c r="B3" s="5"/>
      <c r="C3" s="5"/>
      <c r="D3" s="5"/>
    </row>
    <row r="4" spans="1:4" ht="15" customHeight="1" x14ac:dyDescent="0.2">
      <c r="A4" s="30" t="s">
        <v>71</v>
      </c>
      <c r="B4" s="31" t="s">
        <v>72</v>
      </c>
      <c r="C4" s="31" t="s">
        <v>73</v>
      </c>
      <c r="D4" s="31" t="s">
        <v>74</v>
      </c>
    </row>
    <row r="5" spans="1:4" ht="15" customHeight="1" x14ac:dyDescent="0.2">
      <c r="A5" s="32" t="s">
        <v>53</v>
      </c>
      <c r="B5" s="33">
        <f>-Assumptions!$B$57</f>
        <v>-8</v>
      </c>
      <c r="C5" s="33">
        <f>-Assumptions!$B$58</f>
        <v>-5.75</v>
      </c>
      <c r="D5" s="33">
        <f>-Assumptions!$B$61</f>
        <v>-4.4829999999999997</v>
      </c>
    </row>
    <row r="6" spans="1:4" ht="15" customHeight="1" x14ac:dyDescent="0.2">
      <c r="A6" s="34" t="s">
        <v>54</v>
      </c>
      <c r="B6" s="35">
        <f>-Assumptions!$B$57</f>
        <v>-8</v>
      </c>
      <c r="C6" s="35">
        <f>-Assumptions!$B$58</f>
        <v>-5.75</v>
      </c>
      <c r="D6" s="35">
        <f>-Assumptions!$B$62</f>
        <v>-4.0650000000000004</v>
      </c>
    </row>
    <row r="7" spans="1:4" ht="15" customHeight="1" x14ac:dyDescent="0.2">
      <c r="A7" s="32" t="s">
        <v>55</v>
      </c>
      <c r="B7" s="33">
        <f>-Assumptions!$B$57</f>
        <v>-8</v>
      </c>
      <c r="C7" s="33">
        <f>-Assumptions!$B$58</f>
        <v>-5.75</v>
      </c>
      <c r="D7" s="33">
        <f>-Assumptions!$B$63</f>
        <v>-4.1449999999999996</v>
      </c>
    </row>
    <row r="8" spans="1:4" ht="15" customHeight="1" x14ac:dyDescent="0.2">
      <c r="A8" s="36" t="s">
        <v>56</v>
      </c>
      <c r="B8" s="37">
        <f>-Assumptions!$B$57</f>
        <v>-8</v>
      </c>
      <c r="C8" s="37">
        <f>-Assumptions!$B$58</f>
        <v>-5.75</v>
      </c>
      <c r="D8" s="37">
        <f>-Assumptions!$B$64</f>
        <v>-4.0179999999999998</v>
      </c>
    </row>
    <row r="9" spans="1:4" ht="15" customHeight="1" x14ac:dyDescent="0.2">
      <c r="A9" s="32" t="s">
        <v>57</v>
      </c>
      <c r="B9" s="33">
        <f>-Assumptions!$B$57</f>
        <v>-8</v>
      </c>
      <c r="C9" s="33">
        <f>-Assumptions!$B$58</f>
        <v>-5.75</v>
      </c>
      <c r="D9" s="33">
        <f>-Assumptions!$B$65</f>
        <v>-3.823</v>
      </c>
    </row>
    <row r="10" spans="1:4" ht="15" customHeight="1" x14ac:dyDescent="0.2">
      <c r="A10" s="34" t="s">
        <v>58</v>
      </c>
      <c r="B10" s="35">
        <f>-Assumptions!$B$57</f>
        <v>-8</v>
      </c>
      <c r="C10" s="35">
        <f>-Assumptions!$B$58</f>
        <v>-5.75</v>
      </c>
      <c r="D10" s="35">
        <f>-Assumptions!$B$66</f>
        <v>-3.4780000000000002</v>
      </c>
    </row>
    <row r="11" spans="1:4" ht="15" customHeight="1" x14ac:dyDescent="0.2">
      <c r="A11" s="4" t="s">
        <v>75</v>
      </c>
      <c r="B11" s="4"/>
      <c r="C11" s="4"/>
      <c r="D11" s="4"/>
    </row>
  </sheetData>
  <mergeCells count="4">
    <mergeCell ref="A1:D1"/>
    <mergeCell ref="A2:D2"/>
    <mergeCell ref="A3:D3"/>
    <mergeCell ref="A11:D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Normal="100" workbookViewId="0">
      <pane xSplit="1" ySplit="4" topLeftCell="B5" activePane="bottomRight" state="frozen"/>
      <selection pane="topRight" activeCell="B1" sqref="B1"/>
      <selection pane="bottomLeft" activeCell="A5" sqref="A5"/>
      <selection pane="bottomRight" sqref="A1:D1"/>
    </sheetView>
  </sheetViews>
  <sheetFormatPr baseColWidth="10" defaultColWidth="8.6640625" defaultRowHeight="15" x14ac:dyDescent="0.2"/>
  <cols>
    <col min="1" max="1" width="22" customWidth="1"/>
    <col min="2" max="4" width="20" customWidth="1"/>
  </cols>
  <sheetData>
    <row r="1" spans="1:4" ht="25.5" customHeight="1" x14ac:dyDescent="0.2">
      <c r="A1" s="6" t="s">
        <v>76</v>
      </c>
      <c r="B1" s="6"/>
      <c r="C1" s="6"/>
      <c r="D1" s="6"/>
    </row>
    <row r="2" spans="1:4" ht="60" customHeight="1" x14ac:dyDescent="0.2">
      <c r="A2" s="5" t="s">
        <v>77</v>
      </c>
      <c r="B2" s="5"/>
      <c r="C2" s="5"/>
      <c r="D2" s="5"/>
    </row>
    <row r="3" spans="1:4" ht="49.5" customHeight="1" x14ac:dyDescent="0.2">
      <c r="A3" s="5" t="s">
        <v>78</v>
      </c>
      <c r="B3" s="5"/>
      <c r="C3" s="5"/>
      <c r="D3" s="5"/>
    </row>
    <row r="4" spans="1:4" ht="15" customHeight="1" x14ac:dyDescent="0.2">
      <c r="A4" s="30" t="s">
        <v>71</v>
      </c>
      <c r="B4" s="31" t="s">
        <v>72</v>
      </c>
      <c r="C4" s="31" t="s">
        <v>73</v>
      </c>
      <c r="D4" s="31" t="s">
        <v>74</v>
      </c>
    </row>
    <row r="5" spans="1:4" ht="15" customHeight="1" x14ac:dyDescent="0.2">
      <c r="A5" s="32" t="s">
        <v>53</v>
      </c>
      <c r="B5" s="33">
        <f>Assumptions!$B$10</f>
        <v>3.9359999999999999</v>
      </c>
      <c r="C5" s="33">
        <f>Assumptions!$B$11</f>
        <v>4.1319999999999997</v>
      </c>
      <c r="D5" s="33">
        <f>Assumptions!$B$50</f>
        <v>4.7320000000000002</v>
      </c>
    </row>
    <row r="6" spans="1:4" ht="15" customHeight="1" x14ac:dyDescent="0.2">
      <c r="A6" s="34" t="s">
        <v>54</v>
      </c>
      <c r="B6" s="35">
        <f>Assumptions!$B$10</f>
        <v>3.9359999999999999</v>
      </c>
      <c r="C6" s="35">
        <f>Assumptions!$B$11</f>
        <v>4.1319999999999997</v>
      </c>
      <c r="D6" s="35">
        <f>Assumptions!$B$51</f>
        <v>4.4470000000000001</v>
      </c>
    </row>
    <row r="7" spans="1:4" ht="15" customHeight="1" x14ac:dyDescent="0.2">
      <c r="A7" s="32" t="s">
        <v>55</v>
      </c>
      <c r="B7" s="33">
        <f>Assumptions!$B$10</f>
        <v>3.9359999999999999</v>
      </c>
      <c r="C7" s="33">
        <f>Assumptions!$B$11</f>
        <v>4.1319999999999997</v>
      </c>
      <c r="D7" s="33">
        <f>Assumptions!$B$52</f>
        <v>4.1449999999999996</v>
      </c>
    </row>
    <row r="8" spans="1:4" ht="15" customHeight="1" x14ac:dyDescent="0.2">
      <c r="A8" s="36" t="s">
        <v>56</v>
      </c>
      <c r="B8" s="37">
        <f>Assumptions!$B$10</f>
        <v>3.9359999999999999</v>
      </c>
      <c r="C8" s="37">
        <f>Assumptions!$B$11</f>
        <v>4.1319999999999997</v>
      </c>
      <c r="D8" s="37">
        <f>Assumptions!$B$53</f>
        <v>4.0179999999999998</v>
      </c>
    </row>
    <row r="9" spans="1:4" ht="15" customHeight="1" x14ac:dyDescent="0.2">
      <c r="A9" s="32" t="s">
        <v>57</v>
      </c>
      <c r="B9" s="33">
        <f>Assumptions!$B$10</f>
        <v>3.9359999999999999</v>
      </c>
      <c r="C9" s="33">
        <f>Assumptions!$B$11</f>
        <v>4.1319999999999997</v>
      </c>
      <c r="D9" s="33">
        <f>Assumptions!$B$54</f>
        <v>3.823</v>
      </c>
    </row>
    <row r="10" spans="1:4" ht="15" customHeight="1" x14ac:dyDescent="0.2">
      <c r="A10" s="34" t="s">
        <v>58</v>
      </c>
      <c r="B10" s="35">
        <f>Assumptions!$B$10</f>
        <v>3.9359999999999999</v>
      </c>
      <c r="C10" s="35">
        <f>Assumptions!$B$11</f>
        <v>4.1319999999999997</v>
      </c>
      <c r="D10" s="35">
        <f>Assumptions!$B$55</f>
        <v>3.4780000000000002</v>
      </c>
    </row>
    <row r="11" spans="1:4" ht="15" customHeight="1" x14ac:dyDescent="0.2">
      <c r="A11" s="4" t="s">
        <v>75</v>
      </c>
      <c r="B11" s="4"/>
      <c r="C11" s="4"/>
      <c r="D11" s="4"/>
    </row>
  </sheetData>
  <mergeCells count="4">
    <mergeCell ref="A1:D1"/>
    <mergeCell ref="A2:D2"/>
    <mergeCell ref="A3:D3"/>
    <mergeCell ref="A11:D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zoomScaleNormal="100" workbookViewId="0">
      <pane xSplit="1" ySplit="9" topLeftCell="B10" activePane="bottomRight" state="frozen"/>
      <selection pane="topRight" activeCell="B1" sqref="B1"/>
      <selection pane="bottomLeft" activeCell="A10" sqref="A10"/>
      <selection pane="bottomRight" sqref="A1:E1"/>
    </sheetView>
  </sheetViews>
  <sheetFormatPr baseColWidth="10" defaultColWidth="8.6640625" defaultRowHeight="15" x14ac:dyDescent="0.2"/>
  <cols>
    <col min="1" max="1" width="26" customWidth="1"/>
    <col min="2" max="4" width="18" customWidth="1"/>
    <col min="5" max="5" width="12" bestFit="1" customWidth="1"/>
  </cols>
  <sheetData>
    <row r="1" spans="1:5" ht="25.5" customHeight="1" x14ac:dyDescent="0.2">
      <c r="A1" s="6" t="s">
        <v>79</v>
      </c>
      <c r="B1" s="6"/>
      <c r="C1" s="6"/>
      <c r="D1" s="6"/>
      <c r="E1" s="6"/>
    </row>
    <row r="2" spans="1:5" ht="39.75" customHeight="1" x14ac:dyDescent="0.2">
      <c r="A2" s="5" t="s">
        <v>80</v>
      </c>
      <c r="B2" s="5"/>
      <c r="C2" s="5"/>
      <c r="D2" s="5"/>
      <c r="E2" s="5"/>
    </row>
    <row r="3" spans="1:5" ht="15" customHeight="1" x14ac:dyDescent="0.2">
      <c r="A3" s="31" t="s">
        <v>81</v>
      </c>
      <c r="B3" s="31" t="s">
        <v>72</v>
      </c>
      <c r="C3" s="31" t="s">
        <v>73</v>
      </c>
      <c r="D3" s="31" t="s">
        <v>74</v>
      </c>
      <c r="E3" s="31" t="s">
        <v>82</v>
      </c>
    </row>
    <row r="4" spans="1:5" ht="18" customHeight="1" x14ac:dyDescent="0.2">
      <c r="A4" s="3" t="s">
        <v>83</v>
      </c>
      <c r="B4" s="3"/>
      <c r="C4" s="3"/>
      <c r="D4" s="3"/>
      <c r="E4" s="3"/>
    </row>
    <row r="5" spans="1:5" ht="15" customHeight="1" x14ac:dyDescent="0.2">
      <c r="A5" s="9" t="s">
        <v>84</v>
      </c>
      <c r="B5" s="38">
        <f>'Pool Carry Table'!$B$8</f>
        <v>3.9359999999999999</v>
      </c>
      <c r="C5" s="38">
        <f>'Pool Carry Table'!$C$8</f>
        <v>4.1319999999999997</v>
      </c>
      <c r="D5" s="38">
        <f>'Pool Carry Table'!$D$8</f>
        <v>4.0179999999999998</v>
      </c>
      <c r="E5" s="39">
        <f>SUM(B5,C5,D5)</f>
        <v>12.085999999999999</v>
      </c>
    </row>
    <row r="6" spans="1:5" ht="15" customHeight="1" x14ac:dyDescent="0.2">
      <c r="A6" s="12" t="s">
        <v>85</v>
      </c>
      <c r="B6" s="40">
        <f>'TBA Roll Table'!$B$8</f>
        <v>-8</v>
      </c>
      <c r="C6" s="40">
        <f>'TBA Roll Table'!$C$8</f>
        <v>-5.75</v>
      </c>
      <c r="D6" s="40">
        <f>'TBA Roll Table'!$D$8</f>
        <v>-4.0179999999999998</v>
      </c>
      <c r="E6" s="41">
        <f>SUM(B6,C6,D6)</f>
        <v>-17.768000000000001</v>
      </c>
    </row>
    <row r="7" spans="1:5" ht="15" customHeight="1" x14ac:dyDescent="0.2">
      <c r="A7" s="42" t="s">
        <v>86</v>
      </c>
      <c r="B7" s="43">
        <f>B5+B6</f>
        <v>-4.0640000000000001</v>
      </c>
      <c r="C7" s="43">
        <f>C5+C6</f>
        <v>-1.6180000000000003</v>
      </c>
      <c r="D7" s="43">
        <f>D5+D6</f>
        <v>0</v>
      </c>
      <c r="E7" s="44">
        <f>SUM(B7,C7,D7)</f>
        <v>-5.6820000000000004</v>
      </c>
    </row>
    <row r="8" spans="1:5" ht="7.5" customHeight="1" x14ac:dyDescent="0.2">
      <c r="A8" s="45"/>
      <c r="B8" s="45"/>
      <c r="C8" s="45"/>
      <c r="D8" s="45"/>
      <c r="E8" s="45"/>
    </row>
    <row r="9" spans="1:5" ht="21.75" customHeight="1" x14ac:dyDescent="0.2">
      <c r="A9" s="2" t="s">
        <v>87</v>
      </c>
      <c r="B9" s="2"/>
      <c r="C9" s="2"/>
      <c r="D9" s="2"/>
      <c r="E9" s="2"/>
    </row>
    <row r="10" spans="1:5" ht="15" customHeight="1" x14ac:dyDescent="0.2">
      <c r="A10" s="31" t="s">
        <v>71</v>
      </c>
      <c r="B10" s="31" t="s">
        <v>72</v>
      </c>
      <c r="C10" s="31" t="s">
        <v>73</v>
      </c>
      <c r="D10" s="31" t="s">
        <v>74</v>
      </c>
      <c r="E10" s="31" t="s">
        <v>82</v>
      </c>
    </row>
    <row r="11" spans="1:5" ht="15" customHeight="1" x14ac:dyDescent="0.2">
      <c r="A11" s="32" t="s">
        <v>53</v>
      </c>
      <c r="B11" s="33">
        <f>'Pool Carry Table'!B5+'TBA Roll Table'!B5</f>
        <v>-4.0640000000000001</v>
      </c>
      <c r="C11" s="33">
        <f>'Pool Carry Table'!C5+'TBA Roll Table'!C5</f>
        <v>-1.6180000000000003</v>
      </c>
      <c r="D11" s="33">
        <f>'Pool Carry Table'!D5+'TBA Roll Table'!D5</f>
        <v>0.24900000000000055</v>
      </c>
      <c r="E11" s="46">
        <f t="shared" ref="E11:E16" si="0">SUM(B11,C11,D11)</f>
        <v>-5.4329999999999998</v>
      </c>
    </row>
    <row r="12" spans="1:5" ht="15" customHeight="1" x14ac:dyDescent="0.2">
      <c r="A12" s="34" t="s">
        <v>54</v>
      </c>
      <c r="B12" s="35">
        <f>'Pool Carry Table'!B6+'TBA Roll Table'!B6</f>
        <v>-4.0640000000000001</v>
      </c>
      <c r="C12" s="35">
        <f>'Pool Carry Table'!C6+'TBA Roll Table'!C6</f>
        <v>-1.6180000000000003</v>
      </c>
      <c r="D12" s="35">
        <f>'Pool Carry Table'!D6+'TBA Roll Table'!D6</f>
        <v>0.38199999999999967</v>
      </c>
      <c r="E12" s="47">
        <f t="shared" si="0"/>
        <v>-5.3000000000000007</v>
      </c>
    </row>
    <row r="13" spans="1:5" ht="15" customHeight="1" x14ac:dyDescent="0.2">
      <c r="A13" s="32" t="s">
        <v>55</v>
      </c>
      <c r="B13" s="33">
        <f>'Pool Carry Table'!B7+'TBA Roll Table'!B7</f>
        <v>-4.0640000000000001</v>
      </c>
      <c r="C13" s="33">
        <f>'Pool Carry Table'!C7+'TBA Roll Table'!C7</f>
        <v>-1.6180000000000003</v>
      </c>
      <c r="D13" s="33">
        <f>'Pool Carry Table'!D7+'TBA Roll Table'!D7</f>
        <v>0</v>
      </c>
      <c r="E13" s="46">
        <f t="shared" si="0"/>
        <v>-5.6820000000000004</v>
      </c>
    </row>
    <row r="14" spans="1:5" ht="15" customHeight="1" x14ac:dyDescent="0.2">
      <c r="A14" s="48" t="s">
        <v>56</v>
      </c>
      <c r="B14" s="37">
        <f>'Pool Carry Table'!B8+'TBA Roll Table'!B8</f>
        <v>-4.0640000000000001</v>
      </c>
      <c r="C14" s="37">
        <f>'Pool Carry Table'!C8+'TBA Roll Table'!C8</f>
        <v>-1.6180000000000003</v>
      </c>
      <c r="D14" s="37">
        <f>'Pool Carry Table'!D8+'TBA Roll Table'!D8</f>
        <v>0</v>
      </c>
      <c r="E14" s="49">
        <f t="shared" si="0"/>
        <v>-5.6820000000000004</v>
      </c>
    </row>
    <row r="15" spans="1:5" ht="15" customHeight="1" x14ac:dyDescent="0.2">
      <c r="A15" s="32" t="s">
        <v>57</v>
      </c>
      <c r="B15" s="33">
        <f>'Pool Carry Table'!B9+'TBA Roll Table'!B9</f>
        <v>-4.0640000000000001</v>
      </c>
      <c r="C15" s="33">
        <f>'Pool Carry Table'!C9+'TBA Roll Table'!C9</f>
        <v>-1.6180000000000003</v>
      </c>
      <c r="D15" s="33">
        <f>'Pool Carry Table'!D9+'TBA Roll Table'!D9</f>
        <v>0</v>
      </c>
      <c r="E15" s="46">
        <f t="shared" si="0"/>
        <v>-5.6820000000000004</v>
      </c>
    </row>
    <row r="16" spans="1:5" ht="15" customHeight="1" x14ac:dyDescent="0.2">
      <c r="A16" s="34" t="s">
        <v>58</v>
      </c>
      <c r="B16" s="35">
        <f>'Pool Carry Table'!B10+'TBA Roll Table'!B10</f>
        <v>-4.0640000000000001</v>
      </c>
      <c r="C16" s="35">
        <f>'Pool Carry Table'!C10+'TBA Roll Table'!C10</f>
        <v>-1.6180000000000003</v>
      </c>
      <c r="D16" s="35">
        <f>'Pool Carry Table'!D10+'TBA Roll Table'!D10</f>
        <v>0</v>
      </c>
      <c r="E16" s="47">
        <f t="shared" si="0"/>
        <v>-5.6820000000000004</v>
      </c>
    </row>
  </sheetData>
  <mergeCells count="4">
    <mergeCell ref="A1:E1"/>
    <mergeCell ref="A2:E2"/>
    <mergeCell ref="A4:E4"/>
    <mergeCell ref="A9:E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zoomScaleNormal="100" workbookViewId="0">
      <selection activeCell="E12" sqref="E12"/>
    </sheetView>
  </sheetViews>
  <sheetFormatPr baseColWidth="10" defaultColWidth="8.6640625" defaultRowHeight="15" x14ac:dyDescent="0.2"/>
  <cols>
    <col min="1" max="1" width="28" customWidth="1"/>
    <col min="2" max="2" width="18" customWidth="1"/>
    <col min="3" max="3" width="22" customWidth="1"/>
    <col min="4" max="5" width="16" customWidth="1"/>
    <col min="6" max="6" width="40" bestFit="1" customWidth="1"/>
  </cols>
  <sheetData>
    <row r="1" spans="1:6" ht="25.5" customHeight="1" x14ac:dyDescent="0.2">
      <c r="A1" s="8" t="s">
        <v>88</v>
      </c>
      <c r="B1" s="8"/>
      <c r="C1" s="8"/>
      <c r="D1" s="8"/>
      <c r="E1" s="8"/>
      <c r="F1" s="8"/>
    </row>
    <row r="2" spans="1:6" ht="15" customHeight="1" x14ac:dyDescent="0.2">
      <c r="A2" s="31" t="s">
        <v>89</v>
      </c>
      <c r="B2" s="31" t="s">
        <v>90</v>
      </c>
      <c r="C2" s="31" t="s">
        <v>91</v>
      </c>
      <c r="D2" s="31" t="s">
        <v>92</v>
      </c>
      <c r="E2" s="31" t="s">
        <v>93</v>
      </c>
      <c r="F2" s="31" t="s">
        <v>94</v>
      </c>
    </row>
    <row r="3" spans="1:6" ht="69.75" customHeight="1" x14ac:dyDescent="0.2">
      <c r="A3" s="50" t="s">
        <v>95</v>
      </c>
      <c r="B3" s="50" t="s">
        <v>96</v>
      </c>
      <c r="C3" s="50" t="s">
        <v>97</v>
      </c>
      <c r="D3" s="50" t="s">
        <v>98</v>
      </c>
      <c r="E3" s="50" t="s">
        <v>99</v>
      </c>
      <c r="F3" s="50" t="s">
        <v>100</v>
      </c>
    </row>
    <row r="4" spans="1:6" ht="69.75" customHeight="1" x14ac:dyDescent="0.2">
      <c r="A4" s="51" t="s">
        <v>101</v>
      </c>
      <c r="B4" s="51" t="s">
        <v>102</v>
      </c>
      <c r="C4" s="51" t="s">
        <v>97</v>
      </c>
      <c r="D4" s="51" t="s">
        <v>103</v>
      </c>
      <c r="E4" s="51" t="s">
        <v>104</v>
      </c>
      <c r="F4" s="51" t="s">
        <v>105</v>
      </c>
    </row>
    <row r="5" spans="1:6" ht="69.75" customHeight="1" x14ac:dyDescent="0.2">
      <c r="A5" s="50" t="s">
        <v>106</v>
      </c>
      <c r="B5" s="50" t="s">
        <v>107</v>
      </c>
      <c r="C5" s="50" t="s">
        <v>108</v>
      </c>
      <c r="D5" s="50" t="s">
        <v>109</v>
      </c>
      <c r="E5" s="50" t="s">
        <v>110</v>
      </c>
      <c r="F5" s="50" t="s">
        <v>111</v>
      </c>
    </row>
    <row r="6" spans="1:6" ht="79.5" customHeight="1" x14ac:dyDescent="0.2">
      <c r="A6" s="1" t="s">
        <v>112</v>
      </c>
      <c r="B6" s="1"/>
      <c r="C6" s="1"/>
      <c r="D6" s="1"/>
      <c r="E6" s="1"/>
      <c r="F6" s="1"/>
    </row>
  </sheetData>
  <mergeCells count="2">
    <mergeCell ref="A1:F1"/>
    <mergeCell ref="A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Assumptions</vt:lpstr>
      <vt:lpstr>TBA Roll Table</vt:lpstr>
      <vt:lpstr>Pool Carry Table</vt:lpstr>
      <vt:lpstr>Net Carry Summary</vt:lpstr>
      <vt:lpstr>Hedge Rationale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Ashley Hinkel</cp:lastModifiedBy>
  <cp:revision>0</cp:revision>
  <dcterms:created xsi:type="dcterms:W3CDTF">2026-06-23T02:18:42Z</dcterms:created>
  <dcterms:modified xsi:type="dcterms:W3CDTF">2026-06-23T02:52:32Z</dcterms:modified>
  <dc:language>en-US</dc:language>
</cp:coreProperties>
</file>